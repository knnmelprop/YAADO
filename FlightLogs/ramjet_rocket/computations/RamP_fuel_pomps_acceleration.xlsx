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ink/ink1.xml" ContentType="application/inkml+xml"/>
  <Override PartName="/xl/ink/ink2.xml" ContentType="application/inkml+xml"/>
  <Override PartName="/xl/ink/ink3.xml" ContentType="application/inkml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7c4830996b3d29/Studia/Melprop/RamP/RamP_analitical_computations/"/>
    </mc:Choice>
  </mc:AlternateContent>
  <xr:revisionPtr revIDLastSave="25" documentId="13_ncr:1_{C31ED866-A9BA-46C2-BB36-C3D47E822678}" xr6:coauthVersionLast="47" xr6:coauthVersionMax="47" xr10:uidLastSave="{AFB1D03F-5E80-41D8-8FD9-669488CADB13}"/>
  <bookViews>
    <workbookView xWindow="-108" yWindow="-108" windowWidth="23256" windowHeight="12576" firstSheet="2" xr2:uid="{E4C51DA0-7DA8-45AE-9D89-236FB0A031FC}"/>
  </bookViews>
  <sheets>
    <sheet name="Sheet1" sheetId="1" r:id="rId1"/>
    <sheet name="Pump" sheetId="2" r:id="rId2"/>
    <sheet name="RocketDrag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R3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14" i="1"/>
  <c r="R13" i="1"/>
  <c r="M15" i="1"/>
  <c r="M14" i="1"/>
  <c r="BA3" i="2"/>
  <c r="BA4" i="2"/>
  <c r="AW6" i="2"/>
  <c r="BA2" i="2"/>
  <c r="AW8" i="2"/>
  <c r="AW1" i="2"/>
  <c r="D6" i="2"/>
  <c r="E6" i="2"/>
  <c r="F6" i="2"/>
  <c r="G6" i="2"/>
  <c r="H6" i="2"/>
  <c r="I6" i="2"/>
  <c r="J6" i="2"/>
  <c r="K6" i="2"/>
  <c r="M6" i="2"/>
  <c r="O6" i="2"/>
  <c r="Q6" i="2"/>
  <c r="R6" i="2"/>
  <c r="T6" i="2"/>
  <c r="U6" i="2"/>
  <c r="W6" i="2"/>
  <c r="X6" i="2"/>
  <c r="Z6" i="2"/>
  <c r="AA6" i="2"/>
  <c r="AC6" i="2"/>
  <c r="AD6" i="2"/>
  <c r="AF6" i="2"/>
  <c r="AG6" i="2"/>
  <c r="AI6" i="2"/>
  <c r="AK6" i="2"/>
  <c r="AL6" i="2"/>
  <c r="AM6" i="2"/>
  <c r="AN6" i="2"/>
  <c r="AO6" i="2"/>
  <c r="AQ6" i="2"/>
  <c r="AS6" i="2"/>
  <c r="C6" i="2"/>
  <c r="B6" i="2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N13" i="1"/>
  <c r="O13" i="1" s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5" i="1"/>
  <c r="S16" i="1"/>
  <c r="H14" i="1"/>
  <c r="I14" i="1"/>
  <c r="J14" i="1" s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H15" i="1" l="1"/>
  <c r="H16" i="1" s="1"/>
  <c r="S13" i="1"/>
  <c r="T16" i="1"/>
  <c r="S14" i="1"/>
  <c r="I15" i="1"/>
  <c r="J15" i="1" s="1"/>
  <c r="L33" i="1"/>
  <c r="L21" i="1"/>
  <c r="L9" i="1"/>
  <c r="L32" i="1"/>
  <c r="L31" i="1"/>
  <c r="L7" i="1"/>
  <c r="L30" i="1"/>
  <c r="L18" i="1"/>
  <c r="L6" i="1"/>
  <c r="L28" i="1"/>
  <c r="L16" i="1"/>
  <c r="L26" i="1"/>
  <c r="L14" i="1"/>
  <c r="N14" i="1" s="1"/>
  <c r="O14" i="1" s="1"/>
  <c r="L15" i="1"/>
  <c r="L25" i="1"/>
  <c r="L13" i="1"/>
  <c r="L12" i="1"/>
  <c r="L23" i="1"/>
  <c r="L11" i="1"/>
  <c r="L20" i="1"/>
  <c r="L22" i="1"/>
  <c r="L34" i="1"/>
  <c r="L10" i="1"/>
  <c r="L29" i="1"/>
  <c r="L8" i="1"/>
  <c r="L27" i="1"/>
  <c r="L17" i="1"/>
  <c r="L24" i="1"/>
  <c r="L5" i="1"/>
  <c r="P5" i="1" s="1"/>
  <c r="Q5" i="1" s="1"/>
  <c r="M16" i="1" l="1"/>
  <c r="I16" i="1"/>
  <c r="J16" i="1" s="1"/>
  <c r="H17" i="1"/>
  <c r="N15" i="1" l="1"/>
  <c r="O15" i="1" s="1"/>
  <c r="H18" i="1"/>
  <c r="I17" i="1"/>
  <c r="J17" i="1" s="1"/>
  <c r="M17" i="1"/>
  <c r="N16" i="1"/>
  <c r="O16" i="1" s="1"/>
  <c r="H19" i="1" l="1"/>
  <c r="I18" i="1"/>
  <c r="J18" i="1" s="1"/>
  <c r="M18" i="1"/>
  <c r="N17" i="1"/>
  <c r="O17" i="1" s="1"/>
  <c r="H20" i="1" l="1"/>
  <c r="I19" i="1"/>
  <c r="J19" i="1" s="1"/>
  <c r="M19" i="1"/>
  <c r="N18" i="1"/>
  <c r="O18" i="1" s="1"/>
  <c r="H21" i="1" l="1"/>
  <c r="I20" i="1"/>
  <c r="J20" i="1" s="1"/>
  <c r="M20" i="1"/>
  <c r="N19" i="1"/>
  <c r="O19" i="1" s="1"/>
  <c r="H22" i="1" l="1"/>
  <c r="I21" i="1"/>
  <c r="J21" i="1" s="1"/>
  <c r="M21" i="1"/>
  <c r="N20" i="1"/>
  <c r="O20" i="1" s="1"/>
  <c r="H23" i="1" l="1"/>
  <c r="I22" i="1"/>
  <c r="J22" i="1" s="1"/>
  <c r="M22" i="1"/>
  <c r="N21" i="1"/>
  <c r="O21" i="1" s="1"/>
  <c r="H24" i="1" l="1"/>
  <c r="I23" i="1"/>
  <c r="J23" i="1" s="1"/>
  <c r="M23" i="1"/>
  <c r="N22" i="1"/>
  <c r="O22" i="1" s="1"/>
  <c r="H25" i="1" l="1"/>
  <c r="I24" i="1"/>
  <c r="J24" i="1" s="1"/>
  <c r="M24" i="1"/>
  <c r="N23" i="1"/>
  <c r="O23" i="1" s="1"/>
  <c r="H26" i="1" l="1"/>
  <c r="I25" i="1"/>
  <c r="J25" i="1" s="1"/>
  <c r="M25" i="1"/>
  <c r="N24" i="1"/>
  <c r="O24" i="1" s="1"/>
  <c r="H27" i="1" l="1"/>
  <c r="I26" i="1"/>
  <c r="J26" i="1" s="1"/>
  <c r="M26" i="1"/>
  <c r="N25" i="1"/>
  <c r="O25" i="1" s="1"/>
  <c r="H28" i="1" l="1"/>
  <c r="I27" i="1"/>
  <c r="J27" i="1" s="1"/>
  <c r="M27" i="1"/>
  <c r="N26" i="1"/>
  <c r="O26" i="1" s="1"/>
  <c r="H29" i="1" l="1"/>
  <c r="I28" i="1"/>
  <c r="J28" i="1" s="1"/>
  <c r="M28" i="1"/>
  <c r="N27" i="1"/>
  <c r="O27" i="1" s="1"/>
  <c r="H30" i="1" l="1"/>
  <c r="I29" i="1"/>
  <c r="J29" i="1" s="1"/>
  <c r="M29" i="1"/>
  <c r="N28" i="1"/>
  <c r="O28" i="1" s="1"/>
  <c r="H31" i="1" l="1"/>
  <c r="U16" i="1"/>
  <c r="T17" i="1" s="1"/>
  <c r="I30" i="1"/>
  <c r="J30" i="1" s="1"/>
  <c r="M30" i="1"/>
  <c r="N29" i="1"/>
  <c r="O29" i="1" s="1"/>
  <c r="H32" i="1" l="1"/>
  <c r="I31" i="1"/>
  <c r="J31" i="1" s="1"/>
  <c r="M31" i="1"/>
  <c r="N30" i="1"/>
  <c r="O30" i="1" s="1"/>
  <c r="H33" i="1" l="1"/>
  <c r="I32" i="1"/>
  <c r="J32" i="1" s="1"/>
  <c r="M32" i="1"/>
  <c r="N31" i="1"/>
  <c r="O31" i="1" s="1"/>
  <c r="H34" i="1" l="1"/>
  <c r="I34" i="1" s="1"/>
  <c r="J34" i="1" s="1"/>
  <c r="I33" i="1"/>
  <c r="J33" i="1" s="1"/>
  <c r="M33" i="1"/>
  <c r="N32" i="1"/>
  <c r="O32" i="1" s="1"/>
  <c r="M34" i="1" l="1"/>
  <c r="N34" i="1" s="1"/>
  <c r="O34" i="1" s="1"/>
  <c r="N33" i="1"/>
  <c r="O33" i="1" s="1"/>
</calcChain>
</file>

<file path=xl/sharedStrings.xml><?xml version="1.0" encoding="utf-8"?>
<sst xmlns="http://schemas.openxmlformats.org/spreadsheetml/2006/main" count="297" uniqueCount="256">
  <si>
    <t xml:space="preserve">HYDRAULIC GEAR PUMP AZPB-32-5.0RCP02MB </t>
  </si>
  <si>
    <t>altitude (metre)</t>
  </si>
  <si>
    <r>
      <t>(</t>
    </r>
    <r>
      <rPr>
        <b/>
        <i/>
        <vertAlign val="superscript"/>
        <sz val="8.8000000000000007"/>
        <color rgb="FF000000"/>
        <rFont val="Arial"/>
        <family val="2"/>
        <charset val="238"/>
      </rPr>
      <t>o</t>
    </r>
    <r>
      <rPr>
        <b/>
        <i/>
        <sz val="8.8000000000000007"/>
        <color rgb="FF000000"/>
        <rFont val="Arial"/>
        <family val="2"/>
        <charset val="238"/>
      </rPr>
      <t>C)</t>
    </r>
  </si>
  <si>
    <t>(kPa)</t>
  </si>
  <si>
    <t>(m/s)</t>
  </si>
  <si>
    <t>mach 2 [m/s]</t>
  </si>
  <si>
    <t>time [s]</t>
  </si>
  <si>
    <t>acceleration [m/s^2]</t>
  </si>
  <si>
    <t>g [-]</t>
  </si>
  <si>
    <t>density [kg/m^3]</t>
  </si>
  <si>
    <t>Fuel mass flow rate [kg/s]</t>
  </si>
  <si>
    <t>Fuel used [kg]</t>
  </si>
  <si>
    <t>Fuel used x1.5 [kg]</t>
  </si>
  <si>
    <t>Fuel volume at 15deg [L]</t>
  </si>
  <si>
    <t>Fuel mass flow rate x1.5 [L/min]</t>
  </si>
  <si>
    <t>R [J/kg/K]</t>
  </si>
  <si>
    <t>Fuel density [kg/L]</t>
  </si>
  <si>
    <t>SNP1NN/6,0RN01BAP1F3F3NNNN/NNNNN</t>
  </si>
  <si>
    <t>Displacement per rev.</t>
  </si>
  <si>
    <t>Vg [cm^3/rev]</t>
  </si>
  <si>
    <t>Speed</t>
  </si>
  <si>
    <t>n [rpm]</t>
  </si>
  <si>
    <t>Output flow</t>
  </si>
  <si>
    <t>Q [l/min]</t>
  </si>
  <si>
    <t>Volumetric efficiency</t>
  </si>
  <si>
    <t>nv [-]</t>
  </si>
  <si>
    <t>Input torque</t>
  </si>
  <si>
    <t>M [N*m]</t>
  </si>
  <si>
    <t>Outlet pressure</t>
  </si>
  <si>
    <t>p_hd [bar]</t>
  </si>
  <si>
    <t>Input power</t>
  </si>
  <si>
    <t>P [kW]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</si>
  <si>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</si>
  <si>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</si>
  <si>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</si>
  <si>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</si>
  <si>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</si>
  <si>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</si>
  <si>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</si>
  <si>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</si>
  <si>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</si>
  <si>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</si>
  <si>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</si>
  <si>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</si>
  <si>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</si>
  <si>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</si>
  <si>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</si>
  <si>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inlet pressure</t>
  </si>
  <si>
    <t>p_nd [bar]</t>
  </si>
  <si>
    <t>Δp [bar]</t>
  </si>
  <si>
    <t>Mechanical (torque) efficency</t>
  </si>
  <si>
    <t>n_m [-]</t>
  </si>
  <si>
    <t>Overall efficiency (n_v*n_m)</t>
  </si>
  <si>
    <t>n_t [-]</t>
  </si>
  <si>
    <t xml:space="preserve">A </t>
  </si>
  <si>
    <t>Family</t>
  </si>
  <si>
    <t>SEA1NN</t>
  </si>
  <si>
    <t>Gear pump with inlet port on body and outlet port on flange</t>
  </si>
  <si>
    <t>SNB1NN</t>
  </si>
  <si>
    <t>Gear pump with inlet port on cover and outlet port on flange replacement for SEB1 - use SNP1 body profile</t>
  </si>
  <si>
    <t>SNP1NN</t>
  </si>
  <si>
    <t>Standard gear pump</t>
  </si>
  <si>
    <t>SNC1NN</t>
  </si>
  <si>
    <t>Gear pump with inlet and outlet ports on rear cover</t>
  </si>
  <si>
    <t>SNP1IN</t>
  </si>
  <si>
    <t>Gear pump with internal drain relief valve</t>
  </si>
  <si>
    <t>SKP1NN</t>
  </si>
  <si>
    <t>High torque gear pump</t>
  </si>
  <si>
    <t>SKP1IN</t>
  </si>
  <si>
    <t>High torque gear pump with internal drain relief valve</t>
  </si>
  <si>
    <t>Displacement</t>
  </si>
  <si>
    <t>1,2</t>
  </si>
  <si>
    <t>1,18 cc</t>
  </si>
  <si>
    <t>1,7</t>
  </si>
  <si>
    <t>1,57 cc</t>
  </si>
  <si>
    <t>2,2</t>
  </si>
  <si>
    <t>2,09 cc</t>
  </si>
  <si>
    <t>2,6</t>
  </si>
  <si>
    <t>2,62 cc</t>
  </si>
  <si>
    <t>3,2</t>
  </si>
  <si>
    <t>3,14 cc</t>
  </si>
  <si>
    <t>3,8</t>
  </si>
  <si>
    <t>3,66</t>
  </si>
  <si>
    <t>cc</t>
  </si>
  <si>
    <t>4,3</t>
  </si>
  <si>
    <t>4,19</t>
  </si>
  <si>
    <t>5,5</t>
  </si>
  <si>
    <t>5,23</t>
  </si>
  <si>
    <t>-</t>
  </si>
  <si>
    <t>special</t>
  </si>
  <si>
    <t>6,0</t>
  </si>
  <si>
    <t>6,5</t>
  </si>
  <si>
    <t>6,54</t>
  </si>
  <si>
    <t>Rotation</t>
  </si>
  <si>
    <t>Left</t>
  </si>
  <si>
    <t>rotation</t>
  </si>
  <si>
    <t>R</t>
  </si>
  <si>
    <t>Right</t>
  </si>
  <si>
    <t>Project</t>
  </si>
  <si>
    <t>version</t>
  </si>
  <si>
    <t>Standard</t>
  </si>
  <si>
    <t>gear</t>
  </si>
  <si>
    <t>pump</t>
  </si>
  <si>
    <t>Short</t>
  </si>
  <si>
    <t>Mounting flange</t>
  </si>
  <si>
    <t>Code</t>
  </si>
  <si>
    <t>description (Type of flange • Type of drive gear</t>
  </si>
  <si>
    <t>•Preferred ports for configuration)</t>
  </si>
  <si>
    <t>01</t>
  </si>
  <si>
    <t>pilot Ø25,4+4 holes</t>
  </si>
  <si>
    <t>02</t>
  </si>
  <si>
    <t>pilot Ø30+4 holes</t>
  </si>
  <si>
    <t>03</t>
  </si>
  <si>
    <t>pilot Ø32+O-ring+2 holes through body</t>
  </si>
  <si>
    <t>04</t>
  </si>
  <si>
    <t>pilot Ø32+2 holes through body</t>
  </si>
  <si>
    <t>06</t>
  </si>
  <si>
    <t>SAE A-A pilot Ø50,8+ 2 holes</t>
  </si>
  <si>
    <t>08</t>
  </si>
  <si>
    <t>pilot Ø32+O-ring Outlet port+2 holes through body</t>
  </si>
  <si>
    <t>B1</t>
  </si>
  <si>
    <t>pilot Ø25,4+4 holes -special shaft seal slot</t>
  </si>
  <si>
    <t>V6</t>
  </si>
  <si>
    <t>SAE A-A pilot Ø45+ 2 holes</t>
  </si>
  <si>
    <t>Drive gear</t>
  </si>
  <si>
    <t>AA</t>
  </si>
  <si>
    <t>Taper 1:5-M6-Key 2</t>
  </si>
  <si>
    <t>BA</t>
  </si>
  <si>
    <t>Taper 1:8-M7-Key 2,41</t>
  </si>
  <si>
    <t>BB</t>
  </si>
  <si>
    <t>Taper 1:8-M10x1-Key 3</t>
  </si>
  <si>
    <t>BG</t>
  </si>
  <si>
    <t>Taper 1:8-M7-Key 2,41-shaft for short version</t>
  </si>
  <si>
    <t>CA</t>
  </si>
  <si>
    <t>Tang 5x Ø10 FR03</t>
  </si>
  <si>
    <t>CB</t>
  </si>
  <si>
    <t>Tang 5x Ø13,5 FR03 - for SEA1NN only</t>
  </si>
  <si>
    <t>CD</t>
  </si>
  <si>
    <t>Tang 5x Ø11,5 distance from gear face 47,5 - for</t>
  </si>
  <si>
    <t>SE</t>
  </si>
  <si>
    <t>A1NN and SNB1NN</t>
  </si>
  <si>
    <t>CE</t>
  </si>
  <si>
    <t>Tang 6,63x Ø11 - for SKP1xN</t>
  </si>
  <si>
    <t>CF</t>
  </si>
  <si>
    <t>Tang 5x Ø11,5 distance from gear face 35</t>
  </si>
  <si>
    <t>CM</t>
  </si>
  <si>
    <t>Tang 5x Ø10-type 03 + w/o coupling</t>
  </si>
  <si>
    <t>DA</t>
  </si>
  <si>
    <t>Splined Z15-m0,75-alfa 30°-L14 - for SNP1xx</t>
  </si>
  <si>
    <t>DB</t>
  </si>
  <si>
    <t>Splined Z15-m0,75-alfa 30°-L14 - for SKP1xx</t>
  </si>
  <si>
    <t>DC</t>
  </si>
  <si>
    <t>Splined B12x9-L14-flange protrusion sb22-Z6-</t>
  </si>
  <si>
    <t>m1,60-alfa 30° - special - only for SNP1xx</t>
  </si>
  <si>
    <t>DD</t>
  </si>
  <si>
    <t>Splined B12x9-L20-flange protrusion sb40-Z6-</t>
  </si>
  <si>
    <t>m1,75-alfa 30° - special - only for SKP1xx</t>
  </si>
  <si>
    <t>FA</t>
  </si>
  <si>
    <t>Parallel Ø12-Thread M10x1-Key 3</t>
  </si>
  <si>
    <t>GA</t>
  </si>
  <si>
    <t>Parallel Ø12,7-Key 3.2</t>
  </si>
  <si>
    <t>SA</t>
  </si>
  <si>
    <t>SAE spline J498-9T-20/40 Flat Root Side FIT-L15,6</t>
  </si>
  <si>
    <t>SG</t>
  </si>
  <si>
    <t>SAE spline J498-8T-16/32 std-shaft for short version</t>
  </si>
  <si>
    <t>Rear cover</t>
  </si>
  <si>
    <t>Cover 03</t>
  </si>
  <si>
    <t>Cover 08 with Inlet port 3/8" Gas</t>
  </si>
  <si>
    <t>BC</t>
  </si>
  <si>
    <t>Intermediate flange with screw case and pilot Tipe 01 BCN</t>
  </si>
  <si>
    <t>C1</t>
  </si>
  <si>
    <t>Cover pump with front GAS Thread Inlet3/8 ; Outlet3/8</t>
  </si>
  <si>
    <t>I1</t>
  </si>
  <si>
    <t>Cover pump with relief valve</t>
  </si>
  <si>
    <t>I3</t>
  </si>
  <si>
    <t>Cover 03 with relief valve</t>
  </si>
  <si>
    <t>P1</t>
  </si>
  <si>
    <t>Std Cover pump</t>
  </si>
  <si>
    <t>Inlet size</t>
  </si>
  <si>
    <t xml:space="preserve"> I</t>
  </si>
  <si>
    <t>Outlet size</t>
  </si>
  <si>
    <t>NN</t>
  </si>
  <si>
    <t>Without inlet</t>
  </si>
  <si>
    <t>8x30xM6</t>
  </si>
  <si>
    <t>B2</t>
  </si>
  <si>
    <t>13x30xM6</t>
  </si>
  <si>
    <t>8x26xM5</t>
  </si>
  <si>
    <t>C2</t>
  </si>
  <si>
    <t>12x26xM5</t>
  </si>
  <si>
    <t>C3</t>
  </si>
  <si>
    <t>13,5x30xM6</t>
  </si>
  <si>
    <t>D3</t>
  </si>
  <si>
    <t>M14x1,5</t>
  </si>
  <si>
    <t>D5</t>
  </si>
  <si>
    <t>M18x1,5</t>
  </si>
  <si>
    <t>D7</t>
  </si>
  <si>
    <t>M22x1,5</t>
  </si>
  <si>
    <t>E3</t>
  </si>
  <si>
    <t>9/16-18UNF</t>
  </si>
  <si>
    <t>E4</t>
  </si>
  <si>
    <t>3/4-16UNF</t>
  </si>
  <si>
    <t>E5</t>
  </si>
  <si>
    <t>7/8-14UNF</t>
  </si>
  <si>
    <t>F2</t>
  </si>
  <si>
    <t>1/4 GAS</t>
  </si>
  <si>
    <t>F3</t>
  </si>
  <si>
    <t>3/8 GAS</t>
  </si>
  <si>
    <t>F4</t>
  </si>
  <si>
    <t>1/2 GAS</t>
  </si>
  <si>
    <t>H2</t>
  </si>
  <si>
    <t>10xM12x1,5-ISO6149</t>
  </si>
  <si>
    <t>H4</t>
  </si>
  <si>
    <t>12xM16x1,5-ISO6149</t>
  </si>
  <si>
    <t>H5</t>
  </si>
  <si>
    <t>12xM18x1,5-ISO6149</t>
  </si>
  <si>
    <t>H7</t>
  </si>
  <si>
    <t>13,5xM22x1,5-ISO6149</t>
  </si>
  <si>
    <t>Ports positions &amp; Special body</t>
  </si>
  <si>
    <t>Std from catalogue</t>
  </si>
  <si>
    <t>DF</t>
  </si>
  <si>
    <t>Distance from front flange = 41,9 mm</t>
  </si>
  <si>
    <t>Body width for side ports = 68 mm</t>
  </si>
  <si>
    <t>Seals</t>
  </si>
  <si>
    <t>Standard NBR seal</t>
  </si>
  <si>
    <t>Without shaft seal</t>
  </si>
  <si>
    <t>With VITON seals</t>
  </si>
  <si>
    <t>Two opposite shaft seals</t>
  </si>
  <si>
    <t>Screws</t>
  </si>
  <si>
    <t>Std screws</t>
  </si>
  <si>
    <t>GEOMET screws</t>
  </si>
  <si>
    <t xml:space="preserve">M </t>
  </si>
  <si>
    <t>Set valve</t>
  </si>
  <si>
    <t>NNN</t>
  </si>
  <si>
    <t>No valve</t>
  </si>
  <si>
    <t>V**</t>
  </si>
  <si>
    <t>not defined-pressure no setting :oil ISO VG68-45°</t>
  </si>
  <si>
    <t>Type mark</t>
  </si>
  <si>
    <t>Standard Turolla Marking</t>
  </si>
  <si>
    <t>Standard Turolla Marking+Customer Code - Special</t>
  </si>
  <si>
    <t>Z</t>
  </si>
  <si>
    <t>Without Marking</t>
  </si>
  <si>
    <t>Mark position</t>
  </si>
  <si>
    <t>Std Marking position (on top)</t>
  </si>
  <si>
    <t>Special Marking position on the bottom</t>
  </si>
  <si>
    <t>Mach number</t>
  </si>
  <si>
    <t>air density</t>
  </si>
  <si>
    <t>air pressure</t>
  </si>
  <si>
    <t>air temperature</t>
  </si>
  <si>
    <t>Drag force</t>
  </si>
  <si>
    <t>Normalized Drag force</t>
  </si>
  <si>
    <t>[-]</t>
  </si>
  <si>
    <t>[kg/m^3]</t>
  </si>
  <si>
    <t>[bar]</t>
  </si>
  <si>
    <t>[deg C]</t>
  </si>
  <si>
    <t>[N]</t>
  </si>
  <si>
    <t>[N*m^3/kg]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</si>
</sst>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238"/>
      <scheme val="minor"/>
    </font>
    <font>
      <b/>
      <i/>
      <sz val="8.8000000000000007"/>
      <color rgb="FF000000"/>
      <name val="Arial"/>
      <family val="2"/>
      <charset val="238"/>
    </font>
    <font>
      <b/>
      <i/>
      <vertAlign val="superscript"/>
      <sz val="8.8000000000000007"/>
      <color rgb="FF000000"/>
      <name val="Arial"/>
      <family val="2"/>
      <charset val="238"/>
    </font>
    <font>
      <sz val="8.8000000000000007"/>
      <color rgb="FF000000"/>
      <name val="Arial"/>
      <family val="2"/>
      <charset val="238"/>
    </font>
    <font>
      <sz val="8"/>
      <color rgb="FF202122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0C0C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0C0C0"/>
      </right>
      <top style="medium">
        <color rgb="FFCCCCCC"/>
      </top>
      <bottom style="medium">
        <color rgb="FFCCCCCC"/>
      </bottom>
      <diagonal/>
    </border>
    <border>
      <left style="medium">
        <color rgb="FFC0C0C0"/>
      </left>
      <right style="medium">
        <color rgb="FFCCCCCC"/>
      </right>
      <top style="medium">
        <color rgb="FFCCCCCC"/>
      </top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1" fillId="0" borderId="8" xfId="0" applyFont="1" applyBorder="1" applyAlignment="1">
      <alignment horizontal="center" vertical="center" wrapText="1"/>
    </xf>
    <xf numFmtId="2" fontId="4" fillId="0" borderId="0" xfId="0" applyNumberFormat="1" applyFont="1"/>
    <xf numFmtId="0" fontId="1" fillId="0" borderId="9" xfId="0" applyFont="1" applyBorder="1" applyAlignment="1">
      <alignment horizontal="center" vertical="center" wrapText="1"/>
    </xf>
    <xf numFmtId="0" fontId="0" fillId="3" borderId="0" xfId="0" applyFill="1"/>
    <xf numFmtId="0" fontId="6" fillId="0" borderId="0" xfId="0" applyFont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11" xfId="0" applyFill="1" applyBorder="1"/>
    <xf numFmtId="0" fontId="0" fillId="4" borderId="1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  <xf numFmtId="0" fontId="0" fillId="5" borderId="0" xfId="0" applyFill="1" applyAlignment="1">
      <alignment horizontal="left"/>
    </xf>
    <xf numFmtId="49" fontId="0" fillId="5" borderId="0" xfId="0" applyNumberFormat="1" applyFill="1" applyAlignment="1">
      <alignment horizontal="left"/>
    </xf>
    <xf numFmtId="0" fontId="0" fillId="5" borderId="0" xfId="0" applyFill="1"/>
    <xf numFmtId="0" fontId="8" fillId="0" borderId="0" xfId="0" applyFont="1"/>
    <xf numFmtId="0" fontId="9" fillId="0" borderId="0" xfId="0" applyFont="1"/>
    <xf numFmtId="0" fontId="0" fillId="0" borderId="0" xfId="0" applyAlignment="1">
      <alignment vertical="center" wrapText="1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Sheet1!$G$4</c:f>
              <c:strCache>
                <c:ptCount val="1"/>
                <c:pt idx="0">
                  <c:v>mach 2 [m/s]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Sheet1!$G$5:$G$34</c:f>
              <c:numCache>
                <c:formatCode>General</c:formatCode>
                <c:ptCount val="30"/>
                <c:pt idx="0">
                  <c:v>680.6</c:v>
                </c:pt>
                <c:pt idx="1">
                  <c:v>678.6</c:v>
                </c:pt>
                <c:pt idx="2">
                  <c:v>676.8</c:v>
                </c:pt>
                <c:pt idx="3">
                  <c:v>674.8</c:v>
                </c:pt>
                <c:pt idx="4">
                  <c:v>672.8</c:v>
                </c:pt>
                <c:pt idx="5">
                  <c:v>671</c:v>
                </c:pt>
                <c:pt idx="6">
                  <c:v>669</c:v>
                </c:pt>
                <c:pt idx="7">
                  <c:v>667</c:v>
                </c:pt>
                <c:pt idx="8">
                  <c:v>665</c:v>
                </c:pt>
                <c:pt idx="9">
                  <c:v>661.2</c:v>
                </c:pt>
                <c:pt idx="10">
                  <c:v>657.2</c:v>
                </c:pt>
                <c:pt idx="11">
                  <c:v>653.20000000000005</c:v>
                </c:pt>
                <c:pt idx="12">
                  <c:v>649.20000000000005</c:v>
                </c:pt>
                <c:pt idx="13">
                  <c:v>645.20000000000005</c:v>
                </c:pt>
                <c:pt idx="14">
                  <c:v>641</c:v>
                </c:pt>
                <c:pt idx="15">
                  <c:v>637</c:v>
                </c:pt>
                <c:pt idx="16">
                  <c:v>633</c:v>
                </c:pt>
                <c:pt idx="17">
                  <c:v>628.79999999999995</c:v>
                </c:pt>
                <c:pt idx="18">
                  <c:v>624.6</c:v>
                </c:pt>
                <c:pt idx="19">
                  <c:v>620.4</c:v>
                </c:pt>
                <c:pt idx="20">
                  <c:v>616.20000000000005</c:v>
                </c:pt>
                <c:pt idx="21">
                  <c:v>611.79999999999995</c:v>
                </c:pt>
                <c:pt idx="22">
                  <c:v>607.6</c:v>
                </c:pt>
                <c:pt idx="23">
                  <c:v>603.4</c:v>
                </c:pt>
                <c:pt idx="24">
                  <c:v>599</c:v>
                </c:pt>
                <c:pt idx="25">
                  <c:v>590.4</c:v>
                </c:pt>
                <c:pt idx="26">
                  <c:v>590.20000000000005</c:v>
                </c:pt>
                <c:pt idx="27">
                  <c:v>590.20000000000005</c:v>
                </c:pt>
                <c:pt idx="28">
                  <c:v>590.20000000000005</c:v>
                </c:pt>
                <c:pt idx="29">
                  <c:v>590.20000000000005</c:v>
                </c:pt>
              </c:numCache>
            </c:numRef>
          </c:xVal>
          <c:yVal>
            <c:numRef>
              <c:f>Sheet1!$C$5:$C$34</c:f>
              <c:numCache>
                <c:formatCode>General</c:formatCode>
                <c:ptCount val="30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2500</c:v>
                </c:pt>
                <c:pt idx="10">
                  <c:v>3000</c:v>
                </c:pt>
                <c:pt idx="11">
                  <c:v>3500</c:v>
                </c:pt>
                <c:pt idx="12">
                  <c:v>4000</c:v>
                </c:pt>
                <c:pt idx="13">
                  <c:v>4500</c:v>
                </c:pt>
                <c:pt idx="14">
                  <c:v>5000</c:v>
                </c:pt>
                <c:pt idx="15">
                  <c:v>5500</c:v>
                </c:pt>
                <c:pt idx="16">
                  <c:v>6000</c:v>
                </c:pt>
                <c:pt idx="17">
                  <c:v>6500</c:v>
                </c:pt>
                <c:pt idx="18">
                  <c:v>7000</c:v>
                </c:pt>
                <c:pt idx="19">
                  <c:v>7500</c:v>
                </c:pt>
                <c:pt idx="20">
                  <c:v>8000</c:v>
                </c:pt>
                <c:pt idx="21">
                  <c:v>8500</c:v>
                </c:pt>
                <c:pt idx="22">
                  <c:v>9000</c:v>
                </c:pt>
                <c:pt idx="23">
                  <c:v>9500</c:v>
                </c:pt>
                <c:pt idx="24">
                  <c:v>10000</c:v>
                </c:pt>
                <c:pt idx="25">
                  <c:v>11000</c:v>
                </c:pt>
                <c:pt idx="26">
                  <c:v>12000</c:v>
                </c:pt>
                <c:pt idx="27">
                  <c:v>13000</c:v>
                </c:pt>
                <c:pt idx="28">
                  <c:v>14000</c:v>
                </c:pt>
                <c:pt idx="29">
                  <c:v>15000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D5-492D-B9D9-C598E6B78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601040"/>
        <c:axId val="417597296"/>
      </c:scatterChart>
      <c:valAx>
        <c:axId val="41760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Sheet1!$G$4</c:f>
              <c:strCache>
                <c:ptCount val="1"/>
                <c:pt idx="0">
                  <c:v>mach 2 [m/s]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597296"/>
        <c:crosses val="autoZero"/>
        <c:crossBetween val="midCat"/>
      </c:valAx>
      <c:valAx>
        <c:axId val="41759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Sheet1!$C$4</c:f>
              <c:strCache>
                <c:ptCount val="1"/>
                <c:pt idx="0">
                  <c:v>altitude (metre)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601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Sheet1!$G$4</c:f>
              <c:strCache>
                <c:ptCount val="1"/>
                <c:pt idx="0">
                  <c:v>mach 2 [m/s]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Sheet1!$H$13:$H$34</c:f>
              <c:numCache>
                <c:formatCode>General</c:formatCode>
                <c:ptCount val="22"/>
                <c:pt idx="0">
                  <c:v>0</c:v>
                </c:pt>
                <c:pt idx="1">
                  <c:v>0.75403408234052172</c:v>
                </c:pt>
                <c:pt idx="2">
                  <c:v>1.5125292279715896</c:v>
                </c:pt>
                <c:pt idx="3">
                  <c:v>2.2756549910973529</c:v>
                </c:pt>
                <c:pt idx="4">
                  <c:v>3.0434682589106208</c:v>
                </c:pt>
                <c:pt idx="5">
                  <c:v>3.81602697337292</c:v>
                </c:pt>
                <c:pt idx="6">
                  <c:v>4.5935110349496577</c:v>
                </c:pt>
                <c:pt idx="7">
                  <c:v>5.3759836484081864</c:v>
                </c:pt>
                <c:pt idx="8">
                  <c:v>6.1633852232113364</c:v>
                </c:pt>
                <c:pt idx="9">
                  <c:v>6.9559038473990045</c:v>
                </c:pt>
                <c:pt idx="10">
                  <c:v>7.7537337500637564</c:v>
                </c:pt>
                <c:pt idx="11">
                  <c:v>8.5569466014693791</c:v>
                </c:pt>
                <c:pt idx="12">
                  <c:v>9.365615532409052</c:v>
                </c:pt>
                <c:pt idx="13">
                  <c:v>10.179947779966055</c:v>
                </c:pt>
                <c:pt idx="14">
                  <c:v>11.000023226907173</c:v>
                </c:pt>
                <c:pt idx="15">
                  <c:v>11.82578705845135</c:v>
                </c:pt>
                <c:pt idx="16">
                  <c:v>12.657457051797991</c:v>
                </c:pt>
                <c:pt idx="17">
                  <c:v>14.338977145963115</c:v>
                </c:pt>
                <c:pt idx="18">
                  <c:v>16.033031016876212</c:v>
                </c:pt>
                <c:pt idx="19">
                  <c:v>17.727371918265572</c:v>
                </c:pt>
                <c:pt idx="20">
                  <c:v>19.421712819654932</c:v>
                </c:pt>
                <c:pt idx="21">
                  <c:v>21.116053721044292</c:v>
                </c:pt>
              </c:numCache>
            </c:numRef>
          </c:xVal>
          <c:yVal>
            <c:numRef>
              <c:f>Sheet1!$G$13:$G$34</c:f>
              <c:numCache>
                <c:formatCode>General</c:formatCode>
                <c:ptCount val="22"/>
                <c:pt idx="0">
                  <c:v>665</c:v>
                </c:pt>
                <c:pt idx="1">
                  <c:v>661.2</c:v>
                </c:pt>
                <c:pt idx="2">
                  <c:v>657.2</c:v>
                </c:pt>
                <c:pt idx="3">
                  <c:v>653.20000000000005</c:v>
                </c:pt>
                <c:pt idx="4">
                  <c:v>649.20000000000005</c:v>
                </c:pt>
                <c:pt idx="5">
                  <c:v>645.20000000000005</c:v>
                </c:pt>
                <c:pt idx="6">
                  <c:v>641</c:v>
                </c:pt>
                <c:pt idx="7">
                  <c:v>637</c:v>
                </c:pt>
                <c:pt idx="8">
                  <c:v>633</c:v>
                </c:pt>
                <c:pt idx="9">
                  <c:v>628.79999999999995</c:v>
                </c:pt>
                <c:pt idx="10">
                  <c:v>624.6</c:v>
                </c:pt>
                <c:pt idx="11">
                  <c:v>620.4</c:v>
                </c:pt>
                <c:pt idx="12">
                  <c:v>616.20000000000005</c:v>
                </c:pt>
                <c:pt idx="13">
                  <c:v>611.79999999999995</c:v>
                </c:pt>
                <c:pt idx="14">
                  <c:v>607.6</c:v>
                </c:pt>
                <c:pt idx="15">
                  <c:v>603.4</c:v>
                </c:pt>
                <c:pt idx="16">
                  <c:v>599</c:v>
                </c:pt>
                <c:pt idx="17">
                  <c:v>590.4</c:v>
                </c:pt>
                <c:pt idx="18">
                  <c:v>590.20000000000005</c:v>
                </c:pt>
                <c:pt idx="19">
                  <c:v>590.20000000000005</c:v>
                </c:pt>
                <c:pt idx="20">
                  <c:v>590.20000000000005</c:v>
                </c:pt>
                <c:pt idx="21">
                  <c:v>590.20000000000005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4E-4D98-B6B6-E59D55316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972224"/>
        <c:axId val="419335888"/>
      </c:scatterChart>
      <c:valAx>
        <c:axId val="41897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Sheet1!$H$4</c:f>
              <c:strCache>
                <c:ptCount val="1"/>
                <c:pt idx="0">
                  <c:v>time [s]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335888"/>
        <c:crosses val="autoZero"/>
        <c:crossBetween val="midCat"/>
      </c:valAx>
      <c:valAx>
        <c:axId val="41933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Sheet1!$G$4</c:f>
              <c:strCache>
                <c:ptCount val="1"/>
                <c:pt idx="0">
                  <c:v>mach 2 [m/s]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97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3.xm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ustomXml" Target="../ink/ink2.xml"/><Relationship Id="rId11" Type="http://schemas.openxmlformats.org/officeDocument/2006/relationships/image" Target="../media/image6.png"/><Relationship Id="rId5" Type="http://schemas.openxmlformats.org/officeDocument/2006/relationships/image" Target="../media/image3.png"/><Relationship Id="rId10" Type="http://schemas.openxmlformats.org/officeDocument/2006/relationships/chart" Target="../charts/chart2.xml"/><Relationship Id="rId4" Type="http://schemas.openxmlformats.org/officeDocument/2006/relationships/customXml" Target="../ink/ink1.xml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541917</xdr:colOff>
      <xdr:row>2</xdr:row>
      <xdr:rowOff>149039</xdr:rowOff>
    </xdr:from>
    <xdr:to>
      <xdr:col>27</xdr:col>
      <xdr:colOff>237117</xdr:colOff>
      <xdr:row>16</xdr:row>
      <xdr:rowOff>117214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E9ABA2-83C4-453E-99A9-647F465018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1261913</xdr:colOff>
      <xdr:row>19</xdr:row>
      <xdr:rowOff>122312</xdr:rowOff>
    </xdr:from>
    <xdr:to>
      <xdr:col>24</xdr:col>
      <xdr:colOff>301901</xdr:colOff>
      <xdr:row>27</xdr:row>
      <xdr:rowOff>148465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AF82FA-1422-4B32-9C87-637754557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82620" y="4350483"/>
          <a:ext cx="3454013" cy="1587323"/>
        </a:xfrm>
        <a:prstGeom prst="rect">
          <a:avLst/>
        </a:prstGeom>
      </xdr:spPr>
    </xdr:pic>
    <xdr:clientData/>
  </xdr:twoCellAnchor>
  <xdr:twoCellAnchor editAs="oneCell">
    <xdr:from>
      <xdr:col>19</xdr:col>
      <xdr:colOff>393999</xdr:colOff>
      <xdr:row>28</xdr:row>
      <xdr:rowOff>153297</xdr:rowOff>
    </xdr:from>
    <xdr:to>
      <xdr:col>23</xdr:col>
      <xdr:colOff>452620</xdr:colOff>
      <xdr:row>42</xdr:row>
      <xdr:rowOff>84512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7448C6-2DB2-499F-AECE-B43EC332C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26775" y="5657626"/>
          <a:ext cx="2514951" cy="2513050"/>
        </a:xfrm>
        <a:prstGeom prst="rect">
          <a:avLst/>
        </a:prstGeom>
      </xdr:spPr>
    </xdr:pic>
    <xdr:clientData/>
  </xdr:twoCellAnchor>
  <xdr:twoCellAnchor editAs="oneCell">
    <xdr:from>
      <xdr:col>19</xdr:col>
      <xdr:colOff>513854</xdr:colOff>
      <xdr:row>28</xdr:row>
      <xdr:rowOff>110313</xdr:rowOff>
    </xdr:from>
    <xdr:to>
      <xdr:col>23</xdr:col>
      <xdr:colOff>337044</xdr:colOff>
      <xdr:row>31</xdr:row>
      <xdr:rowOff>90054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D9708646-F401-44CA-8936-5DE06AFA260C}"/>
                </a:ext>
              </a:extLst>
            </xdr14:cNvPr>
            <xdr14:cNvContentPartPr/>
          </xdr14:nvContentPartPr>
          <xdr14:nvPr macro=""/>
          <xdr14:xfrm>
            <a:off x="11746630" y="5614642"/>
            <a:ext cx="2279520" cy="544517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D9708646-F401-44CA-8936-5DE06AFA260C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8818920" y="5387066"/>
              <a:ext cx="2288160" cy="5577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522494</xdr:colOff>
      <xdr:row>31</xdr:row>
      <xdr:rowOff>17693</xdr:rowOff>
    </xdr:from>
    <xdr:to>
      <xdr:col>23</xdr:col>
      <xdr:colOff>127164</xdr:colOff>
      <xdr:row>33</xdr:row>
      <xdr:rowOff>99932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5AEB2EA8-2B4D-4854-B0A5-E7C95071565F}"/>
                </a:ext>
              </a:extLst>
            </xdr14:cNvPr>
            <xdr14:cNvContentPartPr/>
          </xdr14:nvContentPartPr>
          <xdr14:nvPr macro=""/>
          <xdr14:xfrm>
            <a:off x="11755270" y="6086799"/>
            <a:ext cx="2061000" cy="458757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5AEB2EA8-2B4D-4854-B0A5-E7C95071565F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8827560" y="5863679"/>
              <a:ext cx="2069640" cy="4742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563894</xdr:colOff>
      <xdr:row>34</xdr:row>
      <xdr:rowOff>16674</xdr:rowOff>
    </xdr:from>
    <xdr:to>
      <xdr:col>23</xdr:col>
      <xdr:colOff>570219</xdr:colOff>
      <xdr:row>37</xdr:row>
      <xdr:rowOff>99714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264920C0-272B-4A2E-8A59-0F3EA93A355D}"/>
                </a:ext>
              </a:extLst>
            </xdr14:cNvPr>
            <xdr14:cNvContentPartPr/>
          </xdr14:nvContentPartPr>
          <xdr14:nvPr macro=""/>
          <xdr14:xfrm>
            <a:off x="11796670" y="6650556"/>
            <a:ext cx="3807360" cy="638851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264920C0-272B-4A2E-8A59-0F3EA93A355D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8868960" y="6434166"/>
              <a:ext cx="3816000" cy="655667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19</xdr:col>
      <xdr:colOff>559430</xdr:colOff>
      <xdr:row>3</xdr:row>
      <xdr:rowOff>112611</xdr:rowOff>
    </xdr:from>
    <xdr:to>
      <xdr:col>27</xdr:col>
      <xdr:colOff>254630</xdr:colOff>
      <xdr:row>16</xdr:row>
      <xdr:rowOff>127851</xdr:rowOff>
    </xdr:to>
    <xdr:graphicFrame macro="">
      <xdr:nvGraphicFramePr>
        <xdr:cNvPr id="114" name="Chart 113">
          <a:extLst>
            <a:ext uri="{FF2B5EF4-FFF2-40B4-BE49-F238E27FC236}">
              <a16:creationId xmlns:a16="http://schemas.microsoft.com/office/drawing/2014/main" id="{9D5022B3-2B41-49E1-93E2-50BC5C26AB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20</xdr:col>
      <xdr:colOff>526951</xdr:colOff>
      <xdr:row>15</xdr:row>
      <xdr:rowOff>83118</xdr:rowOff>
    </xdr:from>
    <xdr:to>
      <xdr:col>29</xdr:col>
      <xdr:colOff>459721</xdr:colOff>
      <xdr:row>22</xdr:row>
      <xdr:rowOff>10323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C64BD1-51ED-84FD-0D66-FA3C3AA75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908414" y="3530703"/>
          <a:ext cx="5452624" cy="12932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348343</xdr:colOff>
      <xdr:row>86</xdr:row>
      <xdr:rowOff>108857</xdr:rowOff>
    </xdr:from>
    <xdr:to>
      <xdr:col>13</xdr:col>
      <xdr:colOff>118862</xdr:colOff>
      <xdr:row>101</xdr:row>
      <xdr:rowOff>89182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50334D-E8CB-938F-A855-129DCBE36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3943" y="16197943"/>
          <a:ext cx="1936776" cy="2756182"/>
        </a:xfrm>
        <a:prstGeom prst="rect">
          <a:avLst/>
        </a:prstGeom>
      </xdr:spPr>
    </xdr:pic>
    <xdr:clientData/>
  </xdr:twoCellAnchor>
  <xdr:twoCellAnchor editAs="oneCell">
    <xdr:from>
      <xdr:col>12</xdr:col>
      <xdr:colOff>130629</xdr:colOff>
      <xdr:row>43</xdr:row>
      <xdr:rowOff>130629</xdr:rowOff>
    </xdr:from>
    <xdr:to>
      <xdr:col>31</xdr:col>
      <xdr:colOff>131299</xdr:colOff>
      <xdr:row>48</xdr:row>
      <xdr:rowOff>177029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AF79BB-F8E7-FC0A-4855-C1514411E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22372" y="8196943"/>
          <a:ext cx="4801270" cy="971686"/>
        </a:xfrm>
        <a:prstGeom prst="rect">
          <a:avLst/>
        </a:prstGeom>
      </xdr:spPr>
    </xdr:pic>
    <xdr:clientData/>
  </xdr:twoCellAnchor>
  <xdr:twoCellAnchor editAs="oneCell">
    <xdr:from>
      <xdr:col>35</xdr:col>
      <xdr:colOff>130054</xdr:colOff>
      <xdr:row>18</xdr:row>
      <xdr:rowOff>136358</xdr:rowOff>
    </xdr:from>
    <xdr:to>
      <xdr:col>50</xdr:col>
      <xdr:colOff>774178</xdr:colOff>
      <xdr:row>61</xdr:row>
      <xdr:rowOff>61703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EE22C67-0FFC-E86F-B305-3C4196ADC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81486" y="3481137"/>
          <a:ext cx="8264124" cy="7930355"/>
        </a:xfrm>
        <a:prstGeom prst="rect">
          <a:avLst/>
        </a:prstGeom>
      </xdr:spPr>
    </xdr:pic>
    <xdr:clientData/>
  </xdr:twoCellAnchor>
  <xdr:twoCellAnchor editAs="oneCell">
    <xdr:from>
      <xdr:col>50</xdr:col>
      <xdr:colOff>507617</xdr:colOff>
      <xdr:row>11</xdr:row>
      <xdr:rowOff>157556</xdr:rowOff>
    </xdr:from>
    <xdr:to>
      <xdr:col>64</xdr:col>
      <xdr:colOff>433057</xdr:colOff>
      <xdr:row>47</xdr:row>
      <xdr:rowOff>140663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1CCA651-CFE3-3230-6EE0-3026BDD0A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579049" y="2202924"/>
          <a:ext cx="8668387" cy="6688707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4-10T17:09:37.11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189 449 676,'0'0'2206,"10"-24"3230,-18 25-5091,0 0 0,0 0 0,0 1-1,0 0 1,0 2 0,0-2 0,0 1 0,1 1 0,0 0-1,-14 10 1,8-5 15,0 2-1,1-1 0,0 1 1,-18 23-1,28-33-332,0 1-1,1 0 1,-1 0-1,0 1 1,1-1 0,0 0-1,-1 0 1,1 1-1,0 0 1,0 0 0,0-1-1,1 1 1,-1-1 0,1 1-1,-1-1 1,1 1-1,0 0 1,0-1 0,0 1-1,0 0 1,1-1-1,-1 1 1,1-1 0,-1 2-1,1-2 1,0 1-1,2 3 1,-1-2-21,1-1 0,0 1 0,0-1 0,0 0 0,1 0 0,-1 0 0,1 0 0,-1-1 0,1 1 0,0-1 0,0 0 0,0 0 0,0 0 0,0-1 0,7 2 0,27 5 67,-26-7-31,1 2 0,-1 0 0,0 0-1,0 1 1,17 9 0,-27-12 34,1 1-1,-1-1 1,1 1 0,-1 0-1,0 0 1,0 0 0,0 1 0,0-1-1,0 1 1,0-1 0,0 1-1,-1-1 1,1 1 0,-1-1-1,0 2 1,0-1 0,0 0 0,0-1-1,0 1 1,-1 0 0,1 0-1,-1 0 1,0 0 0,0 0-1,0 0 1,0 0 0,-1 0 0,0 4-1,0 1 274,0-1-1,-1 0 1,0 1 0,0-1-1,-1 1 1,0-1-1,0 0 1,-1-1 0,0 1-1,0-1 1,0 1-1,-11 11 1,12-14-275,-1-1 0,0 0 0,0 0-1,-1 0 1,1 0 0,-1 0 0,1-1 0,-1 0 0,0-1 0,0 1 0,0-1 0,0 0-1,0 0 1,0 0 0,0-1 0,0 1 0,0-1 0,0-1 0,0 1 0,-5-2-1,-2 0-1149,-29-5 2589,29 2-5838,26-5-13610</inkml:trace>
  <inkml:trace contextRef="#ctx0" brushRef="#br0" timeOffset="339.75">496 548 204,'15'-4'8162,"16"-13"-5482,-2 0-1338,-15 12-955,0 1 0,1 1 1,-1 0-1,1 0 0,0 2 0,0 0 1,19 1-1,-6 1-163,1 2 1,51 11-1,-61-7-775,-10 1-1014,-9-8 1422,0 0 0,0 1 0,0-1-1,0 0 1,0 0 0,0 0 0,0 1 0,1-1-1,-1 0 1,0 0 0,0 1 0,0-1-1,0 0 1,0 0 0,0 1 0,0-1 0,-1 0-1,1 0 1,0 1 0,0-1 0,0 0 0,0 0-1,0 1 1,0-1 0,0 0 0,0 0 0,-1 0-1,1 1 1,0-1 0,0 0 0,0 0-1,0 0 1,-1 0 0,1 1 0,-22 1-6465,8 0 4709</inkml:trace>
  <inkml:trace contextRef="#ctx0" brushRef="#br0" timeOffset="679.08">542 679 1088,'1'2'338,"-1"0"0,1 0 0,0-1-1,-1 1 1,1-1 0,0 1 0,0-1 0,0 0 0,0 1 0,0-1-1,0 0 1,1 0 0,-1 0 0,0 0 0,1 0 0,-1 1 0,0-1-1,1 0 1,2 1 0,0-1 242,0 0 1,1 0-1,-1 0 1,0 0-1,1-1 1,-1 1-1,7-1 0,7-2 1459,-1 0 0,32-10 0,-46 11-1698,21-5 648,34-10 182,-20 13-4885,-10 2-10349,-26-1 11866</inkml:trace>
  <inkml:trace contextRef="#ctx0" brushRef="#br0" timeOffset="2032.01">1240 349 1268,'1'0'85,"-1"0"1,0-1-1,0 1 0,0 0 1,0 0-1,0 0 0,0 0 1,0-1-1,0 1 0,1 0 0,-1 0 1,0 0-1,0-1 0,0 1 1,0 0-1,0 0 0,0 0 1,0-1-1,0 1 0,0 0 1,0 0-1,0 0 0,0-1 0,0 1 1,-1 0-1,1 0 0,0 0 1,0 0-1,0-1 0,0 1 1,0 0-1,0 0 0,0 0 0,0 0 1,-1-1-1,1 1 0,0 0 1,0 0-1,0 0 0,0 0 1,-1 0-1,1 0 0,0-1 1,0 1-1,0 0 0,0 0 0,-1 0 1,1 0-1,0 0 0,0 0 1,0 0-1,-1 0 0,1 0 1,0 0-1,0 0 0,0 0 0,-1 0 1,1 0-1,-10 15 1601,-7 24-951,8-13-339,1 1 0,1 2-1,1-2 1,1 1 0,2 1 0,1-1 0,1 0-1,1 2 1,7 41 0,-7-65-385,1-2 1,0 0 0,0 0-1,1 0 1,-1 0 0,1 0-1,0-1 1,0 1 0,0 0-1,1-1 1,-1 2 0,1-2-1,0 0 1,0 0 0,0 0-1,0 0 1,0-1 0,5 4-1,-5-5 25,-1 0-1,1 0 1,-1 0-1,1-1 1,0 1-1,-1-1 1,1 1-1,0-1 1,0 0-1,-1 0 0,1 0 1,0-1-1,0 1 1,-1 0-1,1-1 1,0 0-1,-1 0 1,1 0-1,0 0 1,-1 0-1,0 0 1,1-1-1,-1 2 1,0-3-1,1 1 1,-1 1-1,0-1 0,3-4 1,15-18 212,0 1-1,-1-4 1,14-27-1,7-8 257,60-91 726,-100 153-1220,0 0 0,0 0-1,0 0 1,0 0 0,0 0-1,1 0 1,-1 1 0,0-1-1,0 0 1,0 0 0,0 0-1,0 0 1,0 0 0,0 0-1,0 0 1,0 0 0,0 1 0,0-1-1,0 0 1,0 0 0,0 0-1,1 0 1,-1 0 0,0 0-1,0 0 1,0 0 0,0 0-1,0 0 1,0 0 0,0 0-1,0 0 1,1 0 0,-1 0-1,0 0 1,0 0 0,0 0 0,0 0-1,0 0 1,0 0 0,0 0-1,1 0 1,-1 0 0,0 0-1,0 0 1,0 0 0,0 0-1,0 0 1,0 0 0,0 0-1,0 0 1,1 0 0,-1 0 0,0 0-1,0 0 1,0 0 0,0-1-1,0 1 1,0 0 0,0 0-1,0 0 1,0 0 0,0 0-1,0 20 381,-7 35-11,5-43-310,-3 22-14,-3 18-115,1-1-1,3 1 0,2-1 0,5 53 0,-1-88-409,1-6-4704,-2-10 4757,-1-1 0,1 1 0,-1-1 0,1 1 0,0-1 0,-1 0 0,1 1 0,-1-1 0,1 0 0,-1 0 0,0 1 0,1-1 0,-1 0 0,0 0 0,1 1 0,-1-1 0,0 0 1,0 0-1,0 0 0,0 0 0,0-1 0,2-4-1443</inkml:trace>
  <inkml:trace contextRef="#ctx0" brushRef="#br0" timeOffset="3762.06">1801 70 96,'-2'-20'6438,"-2"20"-3301,-4 10-1600,6 0-1319,-1-2 1,1 1-1,1 0 1,0 1 0,0-1-1,1 1 1,0 14-1,0-12-20,0 18 154,-12 590 5149,2-528-7160,-5-118-3883,11 10 4095,1 0-1,0 1 1,0-28-1,2 26 154,-1-1 0,-7-33 0,3 34 327,0-1-84</inkml:trace>
  <inkml:trace contextRef="#ctx0" brushRef="#br0" timeOffset="4102.46">1591 366 624,'4'-1'560,"0"0"0,-1 0 1,1 1-1,-1 0 0,1-1 0,0 1 0,-1 0 1,1 1-1,0-1 0,6 2 0,44 14 2290,-37-11-1584,205 65 5332,-212-68-5747,-2-2-4481,-8 0 3413,0 0 0,0 0 0,1 0 0,-1-1 0,0 1 0,0 0-1,1 0 1,-1 0 0,0 0 0,0 0 0,0 0 0,1-1 0,-1 1-1,0 0 1,0 0 0,0 0 0,0-1 0,0 1 0,1 0 0,-1 0-1,0 0 1,0-2 0,0 2 0,0 0 0,0 0 0,0-1 0,0 1-1,0 0 1,0 0 0,0-1 0,0 1 0,0 0 0,0 0 0,0-1-1,0 1 1,0 0 0,0 0 0,0-1 0,0 1 0,0 0 0,0 0-1,-1 0 1,1-1 0,0 1 0,0 0 0,0 0 0,0 0 0,0-1-1,-1 1 1,1 0 0,0 0 0,0 0 0,0 0 0,-1-1 0,1 1-1,-1 0 1,-1-2-2015</inkml:trace>
  <inkml:trace contextRef="#ctx0" brushRef="#br0" timeOffset="5349.92">2143 527 228,'17'9'4562,"17"2"-3028,-8-5-580,38 18 2042,98 21 0,-127-38-3083,-1-3 0,54 2 0,-88-7-146,0 1 0,0-1 0,0 1 0,0-1 0,-1 1 0,1-1 0,0 1 0,0-1 0,0 1 0,-1-1 1,1 1-1,0 0 0,0-1 0,-1 1 0,1-1 0,0 1 0,-1 0 0,1-1 0,0 1 0,-1 0 0,1 0 1,-1-1-1,1 1 0,-1 0 0,1 0 0,0-1 0,-1 1 0,1 0 0,-1 0 0,-23-15-3550,17 13 2309</inkml:trace>
  <inkml:trace contextRef="#ctx0" brushRef="#br0" timeOffset="5678.73">2363 383 1288,'4'14'3934,"-4"22"-3159,0-27-328,-12 253 3472,11-213-3705,2-31-1542,2-30-3816,1 0 2686,-1 6 971</inkml:trace>
  <inkml:trace contextRef="#ctx0" brushRef="#br0" timeOffset="6127.31">3187 164 728,'8'-50'6302,"-12"77"-3452,-8 91 404,10-78-2483,-8 48 0,-11 86 203,18-130-6061,3-63 3084,0 10 698,1 0-1,-2 0 1,1-2 0,-4-13 0,2 14-365</inkml:trace>
  <inkml:trace contextRef="#ctx0" brushRef="#br0" timeOffset="6456.24">3061 587 636,'43'6'5218,"26"-7"-2866,-23-1-1197,182-7 242,-228 9-1492,0 0-1,1 0 0,-1 0 1,0 0-1,1-1 0,-1 1 1,1 0-1,-1 0 0,0 0 1,1 0-1,-1 0 0,1 0 1,-1 0-1,0 0 0,1 1 1,-1-1-1,0 0 0,1 0 1,-1 0-1,1 0 0,-1 0 1,0 1-1,1-1 1,-1 0-1,0 0 0,0 1 1,1-1-1,-1 0 0,0 0 1,1 1-1,-1-1 0,0 1 1,-12 6-4295,5-3 2770</inkml:trace>
  <inkml:trace contextRef="#ctx0" brushRef="#br0" timeOffset="6859.57">2963 879 784,'62'-52'5816,"-43"40"-4661,34-19 1,-42 25-1026,0 1-1,1 1 0,-1 0 1,1-1-1,-2 2 1,2 1-1,0 0 1,0 1-1,1 0 0,-1 0 1,16 3-1,-26-2-116,0 0-1,1 0 0,-1 0 0,1 0 1,-1 1-1,0-1 0,1 1 0,-1 0 1,0 0-1,1-1 0,-1 2 1,0-1-1,0 0 0,0 0 0,0 1 1,0 0-1,0 0 0,-1-1 0,1 1 1,0 0-1,-1 0 0,1 0 1,-1 0-1,0 0 0,1 0 0,-1 0 1,0 0-1,0 0 0,-1 1 0,1-1 1,0 0-1,-1 1 0,1-1 1,-1 0-1,0 1 0,0 0 0,0 0 1,0-1-1,0 0 0,-1 1 0,1-1 1,-1 0-1,1 1 0,-3 3 1,-1 6 18,-1 1 0,0 0 0,-1-1 0,0 0 1,-1-1-1,0-1 0,-10 13 0,-25 22 229,-1-2 0,-94 75-1,121-106-177,15-12-77,1 1 0,-1-1 0,1 0 0,-1 1 0,1-1 0,-1 0 0,1 1 0,-1-1 0,1 1 0,0-1 0,-1 1 0,1-1 0,-1 1 0,1-1 0,0 1 0,0-1 0,-1 1 0,1-1 0,0 1 0,0 0 0,0-1 0,0 1 0,0-1 0,-1 1 0,1 0 0,0-1 0,0 1 0,0 0 0,1 0 0,-1 0 12,1 0-1,0 0 0,0-1 1,-1 1-1,1 0 0,0 1 1,0-2-1,0 1 0,0 0 1,0-1-1,0 1 0,0-1 1,0 1-1,2 0 0,52 11 644,-41-10-386,10 4-74,0-2-1,0-1 1,-1-1-1,2-1 1,-1-1 0,1-2-1,-1 0 1,1-1-1,27-9 1,-48 10-376,1 1 0,-1-1 0,0 0-1,0 0 1,1 0 0,-1 0 0,-1-1 0,1-1-1,0 2 1,-1-2 0,1 1 0,-1 0 0,4-6-1,-5 6-298,0 1 0,-1-1 0,0 0-1,1 0 1,-1 1 0,0-2-1,-1 1 1,1 0 0,0 0-1,-1 0 1,0 0 0,0-2 0,0 2-1,0 0 1,0 0 0,-1 0-1,1 0 1,-1-1 0,0 1-1,0 0 1,-2-4 0,0 0-1326</inkml:trace>
  <inkml:trace contextRef="#ctx0" brushRef="#br0" timeOffset="9034.34">3719 25 264,'0'-9'891,"1"-7"4453,2 17-2831,5 8-1421,1 8-428,-1 1 1,0-2-1,-1 3 1,0-2 0,5 33-1,12 99 1509,-16-88-1307,27 210 1518,-35-271-2384,0 1 1,0-1-1,0 1 1,0-1-1,0 1 1,0-1 0,0 1-1,0-1 1,0 1-1,0-1 1,0 1-1,0-1 1,1 1-1,-1-1 1,0 1-1,0-1 1,1 1-1,-1-1 1,0 0-1,0 1 1,1-1 0,-1 1-1,1-1 1,-1 0-1,0 2 1,1-2-1,-1 0 1,1 1-1,-1-1 1,1 0-1,0 1 1,12-14 71,15-39 99,-21 39-144,67-136 48,-39 74-6,64-101 0,-81 154-2767,-13 18 696,-13 15 785,8-11 1041,-1 1 1,1-1 0,0 1 0,-1-1 0,1 0 0,0 1 0,0-1-1,0 1 1,-1-1 0,1 1 0,0-1 0,0 1 0,0-1 0,0 1 0,0-1-1,0 1 1,0-1 0,0 1 0,0 0 0,0-1 0,0 1 0,0-1-1,0 1 1,1-1 0,-1 1 0,0-1 0,0 1 0,0-1 0,1 0-1,-1 1 1,0-1 0,1 1 0,-1-1 0,0 0 0,1 1 0,-1-1-1,1 0 1,0 1 0,4 6-3935,-3-2 2234</inkml:trace>
  <inkml:trace contextRef="#ctx0" brushRef="#br0" timeOffset="9481.09">4216 476 1544,'35'-4'6441,"21"-9"-4078,-35 7-1585,54-17 1134,110-48 1,-90 32-1929,-78 34-1670,-29 14-835,-37 19-4674,46-26 6049,-1 1-377</inkml:trace>
  <inkml:trace contextRef="#ctx0" brushRef="#br0" timeOffset="10352.62">4834 213 1216,'0'0'95,"0"-1"0,0 1 1,0 0-1,0 0 0,0 0 0,0 0 0,0 0 0,0-1 0,0 1 1,1 0-1,-1 0 0,0 0 0,0 0 0,0 0 0,0-1 1,0 1-1,0 0 0,0 0 0,0 0 0,0 0 0,-1 0 0,1-1 1,0 1-1,0 0 0,0 0 0,0 0 0,0 0 0,0 0 1,0-1-1,0 1 0,0 0 0,0 0 0,0 0 0,0 0 0,-1 0 1,1 0-1,0 0 0,0 0 0,0-2 0,0 2 0,0 0 0,0 0 1,-1 0-1,1 0 0,0 0 0,0 0 0,0 0 0,0 0 1,-1 0-1,1 0 0,0 0 0,0 0 0,0 0 0,0 0 0,0 0 1,-1 0-1,1 0 0,0 0 0,0 0 0,0 0 0,0 0 1,0 0-1,-1 0 0,1 2 0,0-2 0,0 0 0,-11 13 2152,-7 26-697,13-15-1102,1 0-1,1 0 1,0 34-1,3-52-448,0 0 0,1-1 0,-1 1 0,1-1-1,0 0 1,0 1 0,1 0 0,0-1 0,0 0-1,0 0 1,0 1 0,1-1 0,0 0 0,0-1-1,0 2 1,1-2 0,-1 0 0,1 0 0,0 0-1,7 5 1,-8-8 40,-1 0 1,1 0-1,-1 0 0,1-1 0,0 1 0,-1-1 0,1 0 1,0 0-1,-1 0 0,1 0 0,0 0 0,-1 0 0,1-1 1,-1 1-1,1-1 0,-1 0 0,1 0 0,-1 0 1,1 0-1,-1 0 0,0 0 0,1-1 0,-1 1 0,0-1 1,0 1-1,4-5 0,5-3 301,-1-3 1,0 2-1,13-20 1,5-8 143,-5 10-272,-2-1 0,-1-1 0,-1 0 0,28-67 0,-47 92 116,-7 10-152,-7 9-81,10-8-99,1 0 0,-1 0 1,1 2-1,1-2 0,-1 1 0,1 1 0,0-1 0,1 0 0,-1 0 0,2 0 0,-1 1 0,1-1 1,0 0-1,0 1 0,1-1 0,0 0 0,0 1 0,0-1 0,3 7 0,10 18-405,1 6-1496,-6-15-2205,-17-29-4759,5 4 7404</inkml:trace>
  <inkml:trace contextRef="#ctx0" brushRef="#br0" timeOffset="11458.84">3995 727 168,'-4'8'1801,"4"-8"-1721,0 1 0,0-1 1,0 1-1,0-1 1,0 1-1,-1-1 0,1 0 1,0 1-1,0-1 0,0 1 1,-1-1-1,1 0 0,0 1 1,-1-1-1,1 0 0,0 1 1,-1-1-1,1 0 0,0 1 1,-1-1-1,1 0 0,-1 0 1,1 1-1,0-1 0,-1 0 1,1 0-1,-1 0 0,1 0 1,-1 0-1,1 0 0,-1 1 1,1-1-1,0 0 0,-1 0 1,0-1-1,-8 3 2336,8-2-2365,0 1-1,0-1 1,1 0 0,-1 0 0,0 0-1,1 0 1,-1 0 0,0 0 0,1 0-1,-1 0 1,0 0 0,0 0 0,1 0 0,-1 0-1,0-1 1,1 1 0,-1 0 0,0 0-1,0-1 1,-6-3 347,15 6-143,22 5 410,76-6 2573,222-11 3042,-75-9-3985,55-7-1703,-266 21-204,-27 4-194,1-1 0,-1 0 0,0-1 0,0-2 0,16-5 0,-31 10-195,0 0 0,1 0 0,-1 0 0,0 0 0,0 0 0,0 0 0,0 0 0,1 0 0,-1 0 0,0 0 0,0 0-1,0 0 1,0 0 0,1 0 0,-1 0 0,0 0 0,0 0 0,0 0 0,0 0 0,1 0 0,-1 0 0,0 0-1,0 0 1,0-1 0,0 1 0,0 0 0,0 0 0,1 0 0,-1 0 0,0 0 0,0 0 0,0-1 0,0 1-1,0 0 1,0 0 0,0 0 0,0 0 0,0 0 0,0-1 0,0 1 0,0 0 0,0 0 0,0 0 0,0 0 0,0-1-1,0 1 1,0 0 0,0 0 0,0 0 0,0 0 0,0-1 0,0 1 0,0 0 0,0 0 0,0 0 0,-13-3-461,-18 4-1272,-48 1-8155,41-9 3059,30 5 5266,2 0 36</inkml:trace>
  <inkml:trace contextRef="#ctx0" brushRef="#br0" timeOffset="11872.67">4540 753 360,'-2'1'384,"1"0"0,-1 0 0,1 1-1,-1-1 1,1 0 0,0 0 0,-1 1 0,1 0 0,0 0 0,-2 2-1,-15 36 804,13-27-698,-16 40 232,2 2 0,3 1 1,2 0-1,3 0 0,1 1 0,-1 68 0,11-113-683,0 2 0,1-1 1,2 16-1,-3-26-64,1 1 0,0-1 1,0 2-1,0-2 0,0 0 1,0 1-1,0-1 0,1 0 1,0 1-1,0-1 0,-1 0 1,2 0-1,-1-1 0,0 1 1,1 0-1,3 2 0,-4-4-66,0 0-1,0-1 0,0 1 1,0-1-1,0 1 1,0-1-1,0 0 0,0 0 1,0 0-1,0 0 1,0 0-1,0 0 0,0-1 1,0 1-1,0-1 0,0 1 1,0-1-1,0 0 1,0 0-1,0 0 0,0 0 1,0 0-1,-1 0 0,1 0 1,0-1-1,-1 1 1,1-1-1,-1 1 0,0-1 1,1 1-1,-1-1 0,1-2 1,2-1-224,-1 0-1,0 1 1,0-1 0,-1-1-1,1 1 1,-1 0 0,0 0 0,0-1-1,-1 1 1,1 0 0,0-8-1,-7-15-1825,2 18 1098</inkml:trace>
  <inkml:trace contextRef="#ctx0" brushRef="#br0" timeOffset="12200.22">4296 1047 1288,'20'10'1565,"1"-2"0,0-1 0,33 6 1,-24-9-1306,0-1 1,0-1 0,1 0 0,30-6 0,-57 3-238,4 1-348,-1-1 1,1 0 0,0 0-1,14-5 1,-19 5-132,-1 0 0,1-1-1,0 1 1,-1-1 0,1 0 0,-1 1-1,1-1 1,-1-1 0,3-2 0,-2 2-792</inkml:trace>
  <inkml:trace contextRef="#ctx0" brushRef="#br0" timeOffset="13607.03">5799 249 832,'-1'19'8425,"-10"77"-5058,-92 574-63,88-567-3150,1 54-602,14-124-7963,-16-92 3530,10 47 3807</inkml:trace>
  <inkml:trace contextRef="#ctx0" brushRef="#br0" timeOffset="13949.84">5489 900 1088,'8'-2'526,"0"1"0,0 1 0,1 0-1,-1 0 1,0 0 0,0 1 0,0 1 0,15 3-1,17 2 320,-9-2-234,40 11 1,19 4-673,-90-20 0,1 0-1,0 0 0,0 0 1,-1 0-1,1 0 0,0 0 1,0 0-1,-1 0 0,1 0 1,0 0-1,-1 0 0,1-1 0,0 1 1,0 0-1,-1-1 0,1 1 1,0 0-1,-1-2 0,1 2 1,-1-1-1,1 1 0,-1-1 1,1 1-1,-1-1 0,1 1 1,-1-1-1,1 0 0,-1 1 1,1-1-1,-1 0 0,0 1 0,0-1 1,1-1-1,1-27-3725,-4 19 2288</inkml:trace>
  <inkml:trace contextRef="#ctx0" brushRef="#br0" timeOffset="14287.42">5966 228 684,'4'-2'490,"0"1"-1,0 1 1,0-1-1,1 1 1,-1 0-1,0 0 1,0 1-1,0-1 1,0 1-1,0 1 1,0-1-1,0 0 1,0 0-1,0 1 1,0 0-1,0 0 0,-1 0 1,1 0-1,-1 0 1,1 1-1,3 3 1,8 7 95,-1 3 1,0 0-1,14 20 1,-7-8 111,-19-26-687,0 0 1,0 1-1,0 0 1,-1 0-1,1 0 1,-1 0-1,0 0 1,0 0-1,0 0 1,0 1-1,0-1 0,-1 0 1,1 0-1,-1 1 1,0-1-1,0 0 1,0 0-1,0 0 1,0 0-1,-1 1 1,0-1-1,1 0 1,-1 1-1,0-1 0,-1 0 1,1 0-1,0-1 1,-3 4-1,-5 9-8,-1 0 0,-1-3 0,0 1-1,-18 16 1,-7 9 94,25-25-49,5-7-4,0 2 0,0-2-1,1 1 1,0 2-1,-6 9 1,11-18-43,0 0 1,0 1-1,0-1 1,0 0 0,0 0-1,0 0 1,0 1-1,0-1 1,0 0-1,0 0 1,0 0 0,0 1-1,0-1 1,0 0-1,1 0 1,-1 0 0,0 0-1,0 1 1,0-1-1,0 0 1,0 0-1,0 0 1,0 0 0,1 0-1,-1 1 1,0-1-1,0 0 1,0 0-1,0 0 1,1 0 0,-1 0-1,0 0 1,0 0-1,0 0 1,0 0-1,1 0 1,-1 0 0,0 0-1,0 0 1,0 1-1,1-1 1,-1-1 0,0 1-1,17 1 5,17-6 2,-32 4-3,24-4-176,0 1 0,0 2-1,0 1 1,33 2 0,-53 0-233,-3-1-102,0 1 0,0 0 0,0-1 0,0 1 0,0-1 0,0 0 0,0 0 0,0 0 0,0-1 0,1 1 0,-1-1 1,0 0-1,-1 1 0,1-1 0,0-1 0,0 1 0,0 0 0,-1-1 0,1 1 0,0-1 0,-1-1 0,5-3 0,-3 1-1167</inkml:trace>
  <inkml:trace contextRef="#ctx0" brushRef="#br0" timeOffset="15061.45">4524 972 836,'-3'22'5291,"3"-19"-5120,-1 0 1,1-1-1,-1 1 1,1 0-1,0 0 1,0 1-1,0-2 1,1 1-1,-1 0 1,1 0-1,-1-1 1,1 1 0,1 4-1,9 16 432,1 0-1,1-1 1,26 35-1,57 59 805,-63-77-1145,0 0-204,69 78-115,-80-95-1367,31 24 0,-48-43 885,-1 0 0,1 1 0,0-1-1,1-1 1,-1 1 0,-1-1 0,2-1-1,-1 1 1,1-1 0,0 0 0,-1 0-1,12 0 1,-5-1-923</inkml:trace>
  <inkml:trace contextRef="#ctx0" brushRef="#br0" timeOffset="16396.46">6110 83 508,'-20'-71'6045,"16"67"-3119,2 13-1496,4 19-751,28 67 162,58 129 1,-86-220-837,83 161-54,-65-126-1007,-7-14-3396,-13-25 3418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4-10T17:09:57.39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195 668 516,'1'-3'850,"7"-23"3672,-7 12 883,-3 15-5207,0-1 0,-1 1 0,1 0 1,0 0-1,0 2 0,0-2 0,0 0 0,0 1 0,0-1 0,-1 3 1,-11 10-59,-85 94 159,90-97-307,0 2 0,1-1 0,0 0 0,1 2 0,0 0 0,1-1 0,-7 25 0,13-37 4,0 1 1,0-1-1,-1 0 0,1 1 1,0-1-1,0 1 0,1-1 1,-1 0-1,0 1 0,0-1 1,1 0-1,-1 1 0,1-1 0,-1 0 1,1 1-1,-1-1 0,1 0 1,0 0-1,0 0 0,1 2 1,0 0-6,1 0 0,0-1 1,0 2-1,1-2 0,-1 1 0,0 0 1,5 1-1,8 2-38,-1 1 0,27 5-1,-36-10 30,3 0-15,-1 0 1,0 0-1,0 1 1,0 0 0,0 1-1,0 0 1,-1 0 0,1 0-1,-1 1 1,0 0 0,-1 0-1,12 12 1,-16-15 33,0 0 1,-1 1-1,1-1 1,-1 1-1,1 0 1,-1-1-1,0 1 1,0-1-1,0 1 1,0-1-1,-1 1 1,1 0-1,0 5 1,-2-6 47,1 0 0,-1 0 1,0-1-1,1 1 0,-1 0 0,0 0 1,0 1-1,0-1 0,-1-1 0,1 1 1,0-1-1,-1 1 0,1-1 0,-1 1 1,1-1-1,-1 0 0,0 1 0,1-1 1,-4 1-1,-6 5 291,0-1-1,-1-1 1,1 0 0,-1 0-1,-17 5 1,-8-6-3614,48-9-7873,-7 2 9556</inkml:trace>
  <inkml:trace contextRef="#ctx0" brushRef="#br0" timeOffset="329.47">554 830 60,'34'-9'2249,"1"0"-1,-1 3 1,1 1 0,61 1 0,-95 3-2301,0 1 1,-1 0 0,1 0-1,0 0 1,0 0-1,0 0 1,0 0 0,0 0-1,0 0 1,0 0 0,0 0-1,0 0 1,0 0-1,0 1 1,-1-1 0,1 0-1,0 1 1,0-1 0,0 1-1,1 0 1,-19 6-2373,-37 5-1581,39-8 2883,-3-1-220</inkml:trace>
  <inkml:trace contextRef="#ctx0" brushRef="#br0" timeOffset="732.87">474 958 540,'12'5'1308,"1"-1"0,-1-1 1,22 5-1,-4-4-99,54 1 1,67-13-961,-99 21-6775,-46-12 5195</inkml:trace>
  <inkml:trace contextRef="#ctx0" brushRef="#br0" timeOffset="1089.02">1202 795 376,'18'-36'5578,"-18"33"-3818,-1 4-241,-8 18-4,0 5-1250,2 0-1,0 1 0,-5 37 0,10-48-252,1 2 0,0-2 0,1 0 0,0 0 0,1 0 0,1 0 0,6 26-1,-7-36-13,1 0-1,0 0 0,-1 0 0,1 0 0,1 0 0,-1 0 0,1 0 0,-1 0 0,1 0 0,0-1 0,0 0 0,6 5 1,-7-7 4,0 0 0,0 0 1,-1 0-1,1 0 0,0 0 1,0-1-1,0 1 0,0-1 1,0 1-1,0-1 0,0 0 1,0 0-1,0 0 0,0 0 1,0 0-1,1 0 0,-1 0 1,0-1-1,0 1 0,0-1 1,0 1-1,0-1 0,0 0 1,0 0-1,0 0 0,-1 0 1,1 0-1,2-2 0,7-6 303,-1-1-1,1 1 1,-2-1-1,1 0 1,-2-1-1,1-2 0,-2 1 1,1 0-1,-1 0 1,-1-1-1,-1 0 1,1 0-1,-2 0 0,5-20 2827,-11 44-2965,0 1 1,2-1 0,-1 0 0,2 11 0,4 6-362,-2-10-743,0 2 0,1-2 0,11 26 0,-11-32 332,4 10-6994,-1-21 3533,2-12 1689,-3 3 1047</inkml:trace>
  <inkml:trace contextRef="#ctx0" brushRef="#br0" timeOffset="1428.02">1653 321 80,'6'-18'1603,"-4"13"-1042,-1 0 0,1 1 0,0-1 0,0 0 0,0-2 0,1 3 0,5-8 0,-6 17 27,0 0-1,-1 0 1,1 1-1,-1 0 1,0 0-1,0 5 1,14 401 2269,-14-137-8028,-1-275 5136,0 0-1,0 0 1,0 1 0,0-1-1,0 0 1,0 0 0,0 0-1,0 0 1,0 0 0,0 0 0,0 0-1,0 0 1,0 0 0,0 0-1,0 1 1,0-1 0,0 0-1,0 0 1,-1 0 0,1 0-1,0 0 1,0 0 0,0 0-1,0 0 1,0 0 0,0 0-1,0 0 1,0 0 0,0 0-1,0 0 1,0 0 0,0 0-1,-1 0 1,1 1 0,0-1-1,0 0 1,0 0 0,0 0-1,0 0 1,0 0 0,0 0-1,0 0 1,0 0 0,-1 0-1,1 0 1,0-1 0,0 1 0,0 0-1,0 0 1,0 0 0,0 0-1,0 0 1,0 0 0,0 0-1,0 0 1,0 0 0,-1 0-1,1 0 1,0 0 0,0 0-1,0 0 1,0 0 0,-8-9-1137,-6-6-74,-2-10-524,10 14 1025</inkml:trace>
  <inkml:trace contextRef="#ctx0" brushRef="#br0" timeOffset="1764.22">1479 663 208,'5'-2'384,"-1"0"0,1 1-1,0-1 1,0 1 0,0 0 0,0 0-1,0 1 1,0-1 0,1 1 0,-1 0 0,0 1-1,0-1 1,5 2 0,68 17 1410,-71-17-1613,53 19 489,-42-14-742,0-1-1,0 1 1,0-2 0,1-2 0,-1 1 0,25 1 0,-31-5-633,0-1 0,0 1 0,0-3 0,-1 1 0,1 0 0,21-7 0,-19 2-637</inkml:trace>
  <inkml:trace contextRef="#ctx0" brushRef="#br0" timeOffset="2120.46">2136 604 1480,'15'-5'859,"1"1"0,0 2 0,0 0-1,0 0 1,0 2 0,0 0 0,25 3 0,-14-1-368,44-2 1,-55-1-236,-15 2-371,1-1 0,-1 0-1,1 0 1,-1 0-1,0 0 1,1-1 0,-1 1-1,1 0 1,-1-1 0,1 1-1,-1-1 1,3 0 0,-4 0 4,1 0 0,-1 0 1,0 0-1,1 0 0,-1 0 0,0 0 1,0 0-1,0-1 0,1 1 1,-1 0-1,0 0 0,0 0 1,0 0-1,-1 0 0,1 0 0,0 0 1,0 0-1,-1 0 0,1 0 1,0 0-1,-1 0 0,1 0 1,-2-1-1,-13-31-2608,9 19 1336</inkml:trace>
  <inkml:trace contextRef="#ctx0" brushRef="#br0" timeOffset="2121.46">2280 329 1632,'-11'216'5691,"0"-1"-4931,11-206-1079,0 0 0,0 2 1,1-2-1,1 1 0,3 13 1,-5-23 258,1 0 0,-1 1 1,0-1-1,1 0 0,-1 0 1,0 0-1,0 0 0,1 0 0,-1 0 1,0 0-1,1 0 0,-1 0 1,0 0-1,1 0 0,-1 0 1,0 0-1,1 0 0,-1 0 1,0 0-1,1 0 0,-1 0 1,0-1-1,1 1 0,-1 0 1,0 0-1,0 0 0,1 0 1,-1-1-1,0 1 0,0 0 1,1 0-1,-1-1 0,0 1 1,0 0-1,0 0 0,0-1 1,1 1-1,-1 0 0,0-1 1,0 1-1,0 0 0,0 0 0,0-1 1,0 1-1,0-1 0,10-15-1909,-5 5 637</inkml:trace>
  <inkml:trace contextRef="#ctx0" brushRef="#br0" timeOffset="2462.3">2728 47 728,'4'-13'1451,"-4"10"-970,1 0 0,0-2 1,0 2-1,0 0 0,1 0 0,-1 0 0,1 0 1,3-5-1,-4 8-345,-1 1-1,1-1 1,-1 0-1,1 1 1,-1-1-1,1 1 1,-1-1 0,1 1-1,-1-1 1,1 1-1,-1-1 1,1 1-1,-1 0 1,0-1 0,1 1-1,-1-1 1,0 1-1,0 0 1,0-1 0,1 1-1,-1 0 1,0-1-1,0 2 1,6 19 1177,-2 13 171,-2 1 0,-5 66 1,1-19-882,3-61-917,0 0 0,2-1 0,7 30 0,-6-33-1206,-3 0-4927,-2-16 6173,1-1-1,-1 1 0,1-1 0,-1 0 1,1 1-1,-1-1 0,0 0 0,1 0 1,-1 1-1,0-1 0,1 0 0,-1 0 1,0 0-1,0 0 0,1 0 0,-1 0 1,0 0-1,1 0 0,-2 0 0,-2 0-1092</inkml:trace>
  <inkml:trace contextRef="#ctx0" brushRef="#br0" timeOffset="2803.31">2684 587 412,'19'3'1891,"0"0"1,0-1-1,24-1 0,106-14-188,-135 10-1557,0 3-868,-15 5-1075,-23 9-1768,21-12 3376,-8 5-1106,1 1-191</inkml:trace>
  <inkml:trace contextRef="#ctx0" brushRef="#br0" timeOffset="3156.6">2700 892 916,'14'-7'778,"0"0"1,1 2-1,0 0 0,0 1 1,24-4-1,7-1-327,0 1-168,-43 8-243,-1 0 0,1 0 0,-1 0 0,1 0 1,-1 0-1,0 0 0,1 1 0,-1-1 0,1 1 0,-1 0 1,0-1-1,1 1 0,-1 0 0,0 0 0,0 1 0,0-1 0,3 3 1,-4-3-8,0 0 1,-1 1 0,1-1 0,-1 1-1,0-1 1,1 0 0,-1 1 0,0-1-1,0 1 1,0-1 0,0 1 0,0-1-1,0 0 1,0 1 0,0-1-1,-1 1 1,1-1 0,-1 0 0,1 1-1,-1-1 1,1 0 0,-1 2 0,0-2-1,1 0 1,-2 2 0,-26 34 421,22-27-269,-40 44 813,-14 19 166,55-65-1110,0 0 0,0 1-1,0-1 1,1 1-1,0-1 1,1 1 0,-4 15-1,7-21-58,-1 0-1,1-1 1,0 1-1,0-1 1,0 1-1,0-1 1,0 0-1,0 1 1,1-1-1,-1 1 1,1-1-1,-1 0 1,1 1-1,0-1 1,0 0-1,0 1 1,1-1-1,1 4 1,0-3-38,0 0 0,0 0 1,1 0-1,-1-1 1,1 1-1,-1-1 1,1 0-1,0 0 1,-1 0-1,6 1 1,8 2-730,1 0 1,-2-1 0,2-1 0,18 0 0,-30-2 287,1-1-469,1 1-1,-1-2 1,1 1 0,14-4 0,-10 1-489</inkml:trace>
  <inkml:trace contextRef="#ctx0" brushRef="#br0" timeOffset="3528.04">3348 786 1000,'2'3'484,"1"0"0,-1 0-1,1 0 1,-1 1 0,0-1-1,-1 1 1,1-1 0,0 1 0,-1 1-1,0-2 1,1 8 0,7 48-10,-6-33-27,-2-18-401,9 62 311,2-1-1,35 110 0,-43-171-306,-1 1-1,1-1 0,0 0 0,7 11 0,-10-18-23,-1 0 0,1-1 0,-1 1 1,1 0-1,-1 0 0,1 0 0,0-1 1,-1 1-1,1 0 0,0 0 0,0-1 0,-1 1 1,1-1-1,0 1 0,0-1 0,0 1 1,0-1-1,0 1 0,0-1 0,0 0 0,0 0 1,0 1-1,0-1 0,0 0 0,0 0 1,0 0-1,0 0 0,0 0 0,0 0 1,0 0-1,0-1 0,0 1 0,0 0 0,0 0 1,0-1-1,0 1 0,-1-1 0,1 1 1,0-1-1,0 1 0,0-1 0,0 1 0,-1-1 1,1 0-1,0 0 0,0 1 0,-1-1 1,1 0-1,-1 0 0,1-1 0,28-41 2474,23-47 0,-31 50-1521,51-72 1,-22 43-817,-28 36-901,37-40-1,-40 43-2434,-18 27 2570,0-1 0,1 1 0,0 0 0,0 0 0,0 0 0,0 0 0,0 1 0,1-2 0,-1 2 1,1-1-1,0 1 0,3-3 0,0 0-2337</inkml:trace>
  <inkml:trace contextRef="#ctx0" brushRef="#br0" timeOffset="3930.47">3974 967 336,'-9'-11'6211,"21"8"-3729,-2 1-2510,313-50 6044,-80 7-6131,-243 46-254,0 0 0,0 0 0,0 1 0,0-1 0,0 0-1,-1 0 1,1 0 0,0 0 0,0 0 0,-1 0 0,1 1 0,-1-1 0,1 0 0,-1 0 0,1 0 0,-1 0-1,0 0 1,-1 1 0,-18 30-5461,14-27 4279</inkml:trace>
  <inkml:trace contextRef="#ctx0" brushRef="#br0" timeOffset="4615.32">4589 760 1216,'6'-11'4380,"-9"16"-1907,-10 21-1258,4 3-842,1-6-209,2 1 0,-7 40 0,11-45-145,-4 74-4,6-82-21,0-2 1,1-1 0,0 1 0,0 0 0,1 0 0,0 0 0,1-1 0,3 9 0,-5-15 4,-1-1 1,1 0-1,0 0 1,-1 1-1,1-1 0,0 0 1,0 0-1,0 0 1,0 0-1,0 0 1,0 0-1,0 1 0,0-1 1,0 0-1,0 0 1,0-1-1,1 1 1,-1 0-1,0-1 0,1 1 1,-1-1-1,0 0 1,1 1-1,-1-1 1,1 0-1,-1 0 0,1 0 1,-1 0-1,0 0 1,1 0-1,-1 0 1,1 0-1,-1-1 0,0 1 1,1 0-1,-1-1 1,0 1-1,1-1 1,-1 0-1,0 1 0,1-1 1,-1 0-1,1-2 1,8-4 106,-2 0-1,1 0 1,-1-1 0,11-13 0,-10 10 199,-2 4-85,78-90 2443,-73 83-2258,-1-1-1,0-3 1,-2 2 0,14-30-1,-18 33 71,0 0 0,0-3-1,-1 3 1,-1-1 0,-1 0-1,2-20 1,-4 34-350,0 30 355,2 93-1932,0-61-1827,-2-2-4504,2-48 2665</inkml:trace>
  <inkml:trace contextRef="#ctx0" brushRef="#br0" timeOffset="6111.4">5512 654 20,'9'-8'836,"-1"0"-1,0-1 1,11-15-1,-17 16-138,-2 7-646,0 1 1,0 0-1,0-1 1,0 1-1,0 0 1,0-1-1,0 1 1,0 0-1,0-1 1,1 1-1,-1 0 1,0-1-1,0 1 1,0 0-1,0-1 1,1 1-1,-1 0 1,0 0-1,0-1 1,0 1-1,1 0 1,-1 0-1,0 0 1,1-1-1,-1 1 1,0 0-1,0 0 0,1 0 1,-1 0-1,0-1 1,1 1-1,-1 0 1,0 0-1,1 0 1,-1 0-1,0 0 1,1 0-1,-1 0 1,0 0-1,1 0 1,0 0 1131,11 26 2202,-10 24-2199,-2 1 0,-2-2 0,-10 63 1,-2 48-701,13-129-469,1 1-1,1-1 0,2 1 1,9 37-1,-7-49-988,1 0 1,10 21 0,-26-51-5606,-42-56 1955,42 52 3476</inkml:trace>
  <inkml:trace contextRef="#ctx0" brushRef="#br0" timeOffset="6451.02">5332 917 1196,'5'-4'3489,"5"7"-1837,15 13-583,-19-11-334,37 17 751,0-1-1,1-2 0,58 18 1,-93-35-1458,1 1 0,-1-1 0,18 0 0,2-4-1443,-7-11-3615,-24 7 1647,0 3 1897,0-1-135</inkml:trace>
  <inkml:trace contextRef="#ctx0" brushRef="#br0" timeOffset="14136.29">3549 219 16,'-3'5'1172,"-1"1"0,0-1 0,0 0 0,-9 8 0,9-9-848,0 0 1,0 0-1,0 0 0,1 2 1,-1-1-1,1 0 0,-3 5 1,-10 21 2,-2 0 0,-1 1-1,-45 50 1,38-48-318,1 0-1,-28 50 1,42-62-11,1 0 0,1 2 0,1-1 1,1 1-1,2 0 0,0 0 1,1 0-1,1 2 0,2-2 1,2 42-1,1-22-138,2 0 0,2 0 0,2-1 0,2 0 0,18 49 0,-27-88-90,0-1 1,0 1 0,1-1-1,0 0 1,-1 0 0,1 1 0,0-1-1,1 0 1,-1-1 0,0 1-1,1-1 1,0 1 0,-1-1-1,1 0 1,0 0 0,0 0-1,0 0 1,1-1 0,-1 2-1,0-2 1,1 0 0,-1 0-1,0 0 1,1 0 0,-1-1-1,5 1 1,2-3-1108</inkml:trace>
  <inkml:trace contextRef="#ctx0" brushRef="#br0" timeOffset="14955.09">4961 437 1304,'29'18'5046,"-25"-16"-4798,0 0-1,1 0 1,-2 1 0,1 0-1,0-1 1,0 1 0,5 8-1,-1 1 167,0-1-1,-1 1 0,0 1 0,-1-1 0,-1 1 1,0 0-1,6 28 0,11 99 1344,-21-135-1693,2 28 211,-1 0 0,-2 0 1,-1 0-1,-2-1 0,-1 1 0,-1-1 1,-17 55-1,11-54-1247,-2 0 0,-1-1 0,-1-1 0,-22 33 0,34-59 233,0-1 0,0 0 0,0-1 0,-1 1 0,1 1 0,-1-2 0,0 0 0,0 0 0,0 0 0,-1 0 0,-5 2 0,4-2-1017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4-10T17:10:20.69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44 552 12,'81'29'2775,"-22"-10"-2262,-56-18-489,0 0 0,0 1 0,0-1-1,0 0 1,-1 0 0,1 1 0,0-1-1,-1 1 1,1 0 0,-1 0 0,1 0-1,-1 0 1,0 0 0,0 0 0,0 1-1,0 0 1,0-1 0,-1 1 0,1 0-1,-1-1 1,0 1 0,1 0 0,-1 0-1,0 0 1,-1 1 0,1-1 0,-1 0 0,1 0-1,-1 5 1,2 15 315,-1-20-279,0 0 0,0 0 0,-1 2 0,1-1 0,-1-1 0,0 0 0,0 0 0,0 1 0,0-1 0,-1 0 0,1 0 0,-1 0-1,0 0 1,0 1 0,0-1 0,-1 0 0,1 0 0,-3 4 0,-3-3 139,1-1-1,-1 0 0,0-1 1,0 1-1,-8 0 0,14-3-404</inkml:trace>
  <inkml:trace contextRef="#ctx0" brushRef="#br0" timeOffset="880.47">166 284 324,'0'0'219,"1"-1"-1,-1 0 1,0 0 0,0 0 0,0 1-1,0-1 1,0 0 0,0 0 0,0 0-1,0 1 1,-1-1 0,1 0-1,0 0 1,0 0 0,-1 1 0,1-1-1,-1 0 1,1 0 0,0 1 0,-1-1-1,1 0 1,-1 1 0,0-1-1,1 1 1,-1-1 0,1 1 0,-1-1-1,0 1 1,1-1 0,-1 1-1,-1-1 1,-25-17 2517,9 10-1193,13 5-1284,0 1 0,0 0 0,0 0 0,0 0 0,0 0 0,-1 1 0,1 0 0,0 0 0,-1 0 0,1 1 1,-1 0-1,1 0 0,-6 1 0,9 0-246,0 0 0,0 0 0,0 0 0,0 0 0,1 0 0,-1 0 1,0 1-1,1-1 0,-1 1 0,1-1 0,0 1 0,-1 1 0,1-2 0,0 1 0,0 0 1,0 0-1,0 0 0,1 0 0,-1 0 0,0 0 0,1 0 0,-1 0 0,1 0 0,0 0 1,0 0-1,0 0 0,0 0 0,0 4 0,1 7-31,1 2 0,1-3 0,5 22 0,-1-9 58,-4-10-43,0-1 0,1-1 0,0 1 0,1-2-1,0 2 1,1-1 0,13 20 0,-14-26 1,1-1 0,0 1 0,0-1 0,0 0 0,1 0 0,0 1-1,0-2 1,0 1 0,1-2 0,-1 0 0,1 0 0,17 6 0,17-1-3,-34-8-16,-1 0 1,1 1-1,0 0 0,-1 0 0,1 1 1,12 7-1,-18-8-22,-1-1-1,1 0 1,0 1-1,-1 0 1,1-1-1,-1 1 1,1 0-1,-1 0 1,0 0-1,0 1 0,0-1 1,0 0-1,0 0 1,0 0-1,-1 0 1,1 0-1,-1 1 1,1-1-1,-1 0 1,0 0-1,0 1 1,0-1-1,0 1 1,0-1-1,-1 1 1,1-1-1,-1 0 1,0 3-1,0-3 69,0-1-1,0 1 1,0 0-1,-1-1 1,1 1-1,0-1 1,-1 1-1,1-1 1,0 0 0,-1 0-1,0 1 1,1-1-1,-1 0 1,0-1-1,1 1 1,-3 1-1,-36 15 1291,33-14-1002,-114 34 1431,113-36-5737,26-11-6992,-11 7 9341</inkml:trace>
  <inkml:trace contextRef="#ctx0" brushRef="#br0" timeOffset="1566.55">626 388 336,'27'4'8998,"44"14"-5572,17 2-2725,-61-14-665,-17-3-301,-1-1 0,0 0-1,0-1 1,11 2 0,-57 7-5715,16-3 4587,-2-1-55,0 1 0,-36 17 0,46-17 1042</inkml:trace>
  <inkml:trace contextRef="#ctx0" brushRef="#br0" timeOffset="2043.26">640 549 84,'-18'11'1015,"9"-7"206,0 0-1,1 1 0,-15 11 1,23-15-1169,0-1 0,0 0-1,0 1 1,0-1 0,0 0 0,1 1 0,-1-1 0,0 0 0,0 1 0,0-1 0,1 0 0,-1 1 0,0-1 0,1 0 0,-1 0 0,0 1 0,0-1 0,1 0 0,-1 0 0,0 0 0,1 0 0,-1 1 0,1-1 0,-1 0 0,0 0 0,1 0 0,-1 0 0,0 0 0,1 0 0,-1 0 0,1 0 0,-1 0 0,0 0 0,1 0 0,0 0 0,15 3 493,1-3-62,0 0 1,0 0-1,0-2 0,26-5 1,-28 4-463,0 0 1,0 1-1,0 1 1,1 0-1,-1 1 1,17 3-1,-31-3-185,1 1-1,-1-1 0,1 1 1,-1 0-1,1 0 1,-1 0-1,0 0 0,1 0 1,-1 0-1,0 0 0,2 2 1,-3-3-111,1 1 0,0 0 0,-1 0 0,1 0 0,0-1 1,-1 1-1,1 0 0,0-1 0,0 1 0,0-1 0,0 2 0,0-2 1,0 1-1,-1-1 0,1 0 0,0 1 0,0-1 0,0 0 0,0 0 1,0 0-1,1 0 0,-1 0 0,1 0 0,0-1-1001</inkml:trace>
  <inkml:trace contextRef="#ctx0" brushRef="#br0" timeOffset="3831.99">1500 169 504,'0'-1'411,"0"0"-84,0-1 0,-1 0 0,1 0 0,0 1 0,0-1 0,1 0 0,-1 0 0,0 1 0,1-1 0,-1 0 0,1 1 0,-1-1 0,1 0 0,0 1 0,-1-1 0,1 1 0,0-1 0,0 1 0,2-2 0,7-9 836,2 2 3120,-11 11-4160,-1 0-1,1 0 1,-1-1 0,1 1-1,-1 0 1,0 0 0,1 0-1,-1 0 1,0-1 0,1 1-1,-1 0 1,0 0 0,0 0 0,0 0-1,0 1 1,0-1 0,0 0-1,0 0 1,0 0 0,-1 2-1,14 330 2056,-5-180-2191,-6-111-133,14 65 0,-1-46-3169,-15-57-784,-5-11 1959,-11-23 1135,1 1-14,7 16 332,0 1 1,0 1 0,-1 0-1,0 0 1,-17-15-1,14 18-198</inkml:trace>
  <inkml:trace contextRef="#ctx0" brushRef="#br0" timeOffset="4182.26">1318 570 28,'-1'-1'207,"1"1"-1,-1-1 1,0 0-1,0 0 1,1 0 0,-1 1-1,0-1 1,1 0-1,-1 0 1,1 0 0,-1 0-1,1 0 1,-1 0-1,1 0 1,0 0 0,0 0-1,0 0 1,-1 0-1,1 0 1,0-1 0,0 0-1,0 1 1,0 0-1,1 0 1,-1 0 0,0-2-1,2 2-78,0 0 1,-1 0-1,1 1 0,0-1 0,0 0 1,-1 1-1,1 0 0,0-1 0,0 1 0,0 0 1,0 0-1,-1 0 0,1 0 0,0 0 1,0 0-1,2 1 0,334 24 4851,-333-25-5028,1 1 0,-1 0 1,0 0-1,0 0 0,1 1 1,-1 0-1,5 2 1,6 7-3406,-13-11 1669,0-2-2267,-2 1 2527</inkml:trace>
  <inkml:trace contextRef="#ctx0" brushRef="#br0" timeOffset="5174.71">2208 1 64,'0'0'689,"6"7"4559,-8-6-5039,-1-1 0,1 1 0,0 0 0,0 0-1,0 0 1,-1 1 0,1-1 0,0 1 0,0-1 0,1 1 0,-1-1 0,0 1 0,0 0 0,1 1 0,-3 2 0,-22 37 188,17-17-253,0-1-1,2 3 1,0-2 0,-3 31-1,2-10-106,-3 4-13,3 0 0,2-1 0,-1 88 0,11-89-37,2 1-1,2 0 0,2-2 0,18 54 1,-27-97-295,1 1 1,-1-2 0,1 1 0,0 0 0,0 0 0,0-1 0,0 0 0,1 0-1,-1 0 1,1 0 0,3 3 0,-6-2-852</inkml:trace>
  <inkml:trace contextRef="#ctx0" brushRef="#br0" timeOffset="6911.65">2486 602 180,'-8'-3'7007,"8"48"-6306,2-1 0,2 1 0,18 81-1,-20-116-703,1 0 0,1-1 0,0 0 1,0 0-1,7 12 0,-9-19 8,-1-1 0,0 1 0,1 0 0,-1 0 0,1-1-1,0 1 1,-1-1 0,1 1 0,0-1 0,0 0 0,0 0 0,3 2 0,-3-3 9,-1 0 0,0 1 0,1-1-1,-1 0 1,0 0 0,1 0 0,-1 0 0,0 0-1,1-1 1,-1 1 0,0 0 0,1-1 0,-1 1-1,0-1 1,0 1 0,1-1 0,-1 1 0,0-1-1,0 0 1,0 0 0,0 1 0,0-1-1,1-1 1,3-3 105,-1 0 1,0-1-1,0 1 0,0-2 0,-1 1 0,0 1 0,0-1 1,-1-1-1,4-11 0,-3 4 201,0 2-1,-1 0 1,0-1 0,0-18 0,-16-67 1054,12 77-1073,2 36-129,9 30-187,1-1 1,18 48-1,-15-50-346,-3-7-2063,-8-10-4252</inkml:trace>
  <inkml:trace contextRef="#ctx0" brushRef="#br0" timeOffset="-210570.9">2918 764 232,'8'-38'5347,"-8"38"-5158,8-9-195,-7 8 41,0 0 0,-1 0 0,1 0 0,-1 1 1,1-1-1,0 0 0,0 0 0,-1-2 0,1 3 0,0-1 0,0 0 0,0 1 1,0-1-1,0 1 0,0-1 0,0 1 0,0-1 0,0 1 0,0 0 0,0-1 1,0 1-1,1 0 0,-1 0 0,0 0 0,0 0 0,0 0 0,0 0 0,0 0 1,2 1-1,44 9-2,-26-5 49,5-1-74,0 1 1,32 11 0,-57-16-16,0 0 1,-1 1-1,1-1 1,0 0-1,0 0 0,0 0 1,0 0-1,0 0 1,0 0-1,0 0 1,0 0-1,0-1 1,0 1-1,0 0 1,-1-1-1,1 1 1,0 0-1,0-1 1,0 1-1,0-1 1,-1 1-1,1-1 1,0 1-1,-1-1 0,1 0 1,0 1-1,-1-1 1,1 0-1,-1 1 1,1-1-1,-1 0 1,1 0-1,-1 0 1,1 0-1,-1 1 1,0-1-1,1 0 1,-1 0-1,0 0 1,0 0-1,0 0 0,0-1 1,-16-18-4062,14 16 3349,2-1-146</inkml:trace>
  <inkml:trace contextRef="#ctx0" brushRef="#br0" timeOffset="-209179.75">3130 450 116,'-7'-2'3121,"5"2"193,1 13-3206,10 75 260,-2-23-211,3 77-45,-2-99-104,-8-42-15,-2 0 2,2-1-2,-6-33-17,5 17 28,-1 0 1,0 1-1,-7-25 1,5 25-1,1 0 1,0 0-1,-1-24 1,4 30-6,0-9 0,1 17 1,-1 1 0,0-1 1,0 1-1,0 0 0,0-1 0,0 1 0,0-1 0,1 1 0,-1 0 0,0-1 0,0 1 0,0 0 0,1-1 0,-1 1 0,0 0 0,1-1 0,-1 1 0,0 0 1,1 0-1,-1-1 0,0 1 0,1 0 0,-1 0 0,1 0 0,-1 0 0,0-1 0,1 1 0,-1 0 0,1 0 0,-1 0 0,0 0 0,1 0 0,0 1 3,0-1 0,0 1 0,-1-1 0,1 1 0,-1-1 0,1 1 0,0 0 0,-1-1 0,1 1 0,-1 0 0,1-1 0,-1 1 0,0 0 0,1 0-1,-1 0 1,0-1 0,0 1 0,1 0 0,-1 0 0,0 0 0,0 1 0,5 30 3,-4-21-5,8 56 12,-8-44-16,2-3 0,6 24 0,9 59 3,-17-90-1196,-2-25-344,1 8 1301,0 2-1,-1-1 1,1 1 0,-1 0-1,1-2 1,-1 2 0,0 0-1,0-1 1,0 1 0,0 0-1,-1 0 1,1 0-1,0 0 1,-4-4 0,-1 3-528</inkml:trace>
  <inkml:trace contextRef="#ctx0" brushRef="#br0" timeOffset="-208555.17">2970 777 412,'0'0'949,"26"-6"871,-6 2-1477,0 1-1,0 0 1,0 0-1,0 3 1,0 0 0,30 5-1,-10 0-260,0-1 0,50-1 0,-158-10 328,-76 7-421,150 4-475,10 1 262,38 4-3867,-50-9 3112</inkml:trace>
  <inkml:trace contextRef="#ctx0" brushRef="#br0" timeOffset="-207667.37">3646 256 56,'-2'-4'1154,"1"4"-1007,1-1-1,-1 1 1,1-1 0,-1 1-1,1-1 1,0 0 0,-1 1-1,1-1 1,0 0 0,-1 1-1,1-1 1,0 0 0,0 1 0,0-1-1,-1 0 1,1 1 0,0-1-1,0 0 1,0 0 0,0 1-1,0-1 1,0-1 0,1 1-1,-1 1 1,0-1 0,0 0-1,0 1 1,1-1 0,-1 0 0,0 1-1,1-1 1,0 0 0,-1 0 417,6 38 687,-8 46-933,4 87 483,3-139-801,0 26 0,-5-56-9,-10-33-3484,9 28 3173,1 1 0,-1-1 0,1 1 0,-1 0 0,0-1 1,0 0-1,-1 1 0,1-1 0,-1 0 0,0 1 0,0 0 1,-2-3-1,0 3-565</inkml:trace>
  <inkml:trace contextRef="#ctx0" brushRef="#br0" timeOffset="-207327.68">3574 590 592,'2'1'280,"0"1"-1,1-1 1,-1 1-1,0-1 1,1 0-1,-1 1 1,1-1-1,-1-1 1,1 1-1,-1 1 1,1-1-1,0-1 1,-1 0-1,1 1 1,0-1-1,-1 0 1,1 0-1,3-1 1,5 1 80,42-9 748,-45 7-1011,0 0 1,0 1-1,0 0 1,0 0-1,-1 1 1,1 0-1,0 0 1,14 3-1,-20-3-298,0 1-1,-1 0 1,1-1-1,0 0 1,0 1-1,-1-1 1,1 0-1,0 0 1,0 0-1,-1 0 1,1 0-1,0 0 1,0 0-1,-1 0 1,1-1-1,0 1 1,0-1-1,-1 1 1,1-1-1,-1 0 1,1 0-1,-1 0 1,4-2-1,-5 3-308</inkml:trace>
  <inkml:trace contextRef="#ctx0" brushRef="#br0" timeOffset="-206723.97">3602 893 448,'0'-3'365,"1"1"0,-1 0 0,1-1 0,0 1 0,-1 0-1,1 0 1,0-2 0,0 2 0,2-3 0,1-2-157,0 1-1,1 0 1,0 1-1,0-1 1,0 1-1,0 0 1,1 0-1,8-6 1,-10 9-158,-1 0 0,1 1 0,0-1 0,0 1 0,-1 0 0,1 0 1,0 0-1,0 0 0,0 1 0,0 0 0,0 0 0,0 0 1,0 0-1,0 0 0,0 1 0,0 0 0,0 0 0,4 1 1,-6-1-43,0 1 1,0-1-1,0 0 1,0 1 0,0-1-1,-1 2 1,1-1-1,0 0 1,-1-1 0,1 1-1,-1 0 1,0 0 0,0 0-1,0 1 1,0-1-1,0 0 1,0 0 0,0 1-1,-1-1 1,1 0-1,-1 1 1,0-1 0,0 0-1,0 1 1,0-1 0,0 0-1,0 1 1,0-1-1,-1 0 1,-1 6 0,-2 8 12,-1-1-1,-1 0 1,0-1 0,-1 0 0,0 1 0,-1-1 0,-1-1 0,0 0 0,-1-1 0,0 0-1,-1 0 1,0-1 0,-1 0 0,-25 17 0,25-21 41,-5 6 349,17-12-403,-1-1 1,1 1 0,0 0-1,0 0 1,0 0 0,0-1-1,0 1 1,0 0-1,0 0 1,0 0 0,1 0-1,-1-1 1,0 1 0,0 0-1,1 0 1,-1-1 0,0 1-1,1 0 1,-1 0 0,1-1-1,-1 1 1,1-1-1,-1 3 1,1-2 0,1 0-1,3 5-6,1 0-1,0 0 1,0-1-1,0 1 1,1-1-1,0-1 0,0 0 1,0 0-1,0 1 1,1-1-1,14 3 1,-5-3 30,0 0 0,0-2 0,1 0 0,27-1 0,-44-1-140,0 0 1,0-1-1,0 1 1,0 0-1,-1-1 1,1 1-1,0-1 1,0 1 0,-1-1-1,1 1 1,0-1-1,-1 1 1,1-1-1,0 0 1,-1 1-1,1-1 1,-1 0-1,1 1 1,-1-1-1,0 0 1,1 0-1,-1 0 1,0 1-1,1-1 1,-1 0-1,0 0 1,0-1 0,4-29-3518,-4 24 2334</inkml:trace>
  <inkml:trace contextRef="#ctx0" brushRef="#br0" timeOffset="-204883.99">4274 829 12,'-5'-9'207,"0"0"0,0 0 1,-1 2-1,0-2 0,-11-9 0,9 8 50,-44-58 2195,49 68-181,4 11-1582,-1-11-712,65 252 1991,-48-196-1712,-11-33-161,-5-16-60,1 2 0,0-2 1,1 0-1,3 9 0,10-44 151,-8-7 82,51-178 582,-43 165-783,2 0 0,33-62 0,-40 96-3,-18 27-642,6-12 268,0 0 0,0 0-1,1 0 1,-1 1 0,0-1 0,0 2 0,1-2 0,-1 0-1,1 1 1,-1-1 0,1 1 0,-1-1 0,1 1 0,0-1-1,0 1 1,0-1 0,0 1 0,0 0 0,0-1 0,0 2-1,1-2 1,-1 1 0,0-1 0,1 1 0,0-1 0,-1 0-1,2 4 1,2 0-1064</inkml:trace>
  <inkml:trace contextRef="#ctx0" brushRef="#br0" timeOffset="-204367.81">4750 654 164,'0'0'117,"0"0"0,-1 0-1,1 0 1,0 0 0,0 2 0,-1-2-1,1 0 1,0 0 0,0 0 0,-1 0 0,1 0-1,0 0 1,0 0 0,-1 0 0,1 0-1,0 0 1,0 0 0,-1 0 0,1 0-1,0 0 1,0 0 0,-1 0 0,1 0 0,0 0-1,0 0 1,-1-2 0,1 2 0,0 0-1,0 0 1,0 0 0,-1 0 0,1 0-1,0-1 1,0 1 0,0 0 0,0 0 0,-1 0-1,1-1 1,0 1 0,0 0 0,0 0-1,0-1 1,12-5 1668,25-5-380,0 2 152,-10 2-849,1 1 0,-1 1 1,40-2-1,-67 7-786,1 0 0,-1 0 0,0 1 0,1-1 1,-1 0-1,0 0 0,1 0 0,-1 0 0,0 1 0,1-1 0,-1 0 0,0 0 0,1 2 0,-1-2 0,0 0 0,0 1 0,0-1 0,1 0 0,-1 0 1,0 1-1,0-1 0,0 0 0,0 1 0,1-1 0,-1 1 0,0-1 0,0 0 0,0 1 0,0-1 0,0 0 0,0 1 0,0 0 0,-3 1-3396,-3-10 990,4 3 89</inkml:trace>
  <inkml:trace contextRef="#ctx0" brushRef="#br0" timeOffset="-204022.77">5284 234 152,'10'-11'2795,"-8"9"-2479,-1-1-1,2 1 0,-1 0 0,0-1 1,0 0-1,1 1 0,-1 0 0,1 1 1,-1-1-1,6-2 0,-7 6-170,0 1 0,-1-1-1,1 0 1,-1 2 0,1-2 0,-1 1-1,1-1 1,-1 0 0,0 1 0,0-1-1,-1 1 1,1 2 0,-18 131 1725,8-77-1624,-2 96 0,13-142 52,-2-7-3891,-7-8-1642,8 2 5109,-2-1-1093</inkml:trace>
  <inkml:trace contextRef="#ctx0" brushRef="#br0" timeOffset="-203683.22">5138 701 772,'5'4'645,"1"2"0,-1-3 0,1 0 0,-1 0-1,1 0 1,0-1 0,0 0 0,1 0 0,-1 0 0,0-1 0,11 2-1,11-1-423,39-2 0,-37 0 299,-25 0-576,0 0 1,0 0-1,0-1 0,0 0 0,0 0 1,0 0-1,0 0 0,7-3 0,-12 4 24,0 0 0,0-1 0,0 1 0,0 0-1,0 0 1,0 0 0,0 0 0,0 0 0,0 0 0,1 0 0,-1 0-1,0 0 1,0 0 0,0 0 0,0 0 0,0 0 0,0-1 0,0 1-1,0 0 1,0 0 0,0 0 0,0 0 0,0 0 0,0 0-1,0 0 1,0 0 0,0 0 0,0 0 0,0-1 0,0 1 0,0 0-1,0 0 1,0 0 0,0 0 0,0 0 0,0 0 0,0 0 0,0 0-1,0 0 1,0-1 0,0 1 0,0 0 0,0 0 0,0 0 0,-1 0-1,1 0 1,0 0 0,0 0 0,0 0 0,0 0 0,0 0-1,0 0 1,0 0 0,0 0 0,0 0 0,0 0 0,0 0 0,-1 0-1,1 0 1,0 0 0,0-1 0,0 1 0,0 0 0,-11 0-1727,-11 2-1597,14 1 1866</inkml:trace>
  <inkml:trace contextRef="#ctx0" brushRef="#br0" timeOffset="-203249.96">5112 1036 312,'34'-23'3350,"-21"14"-2994,0 0 0,1 1 0,1 0 0,-1 1 1,1 0-1,0 1 0,22-5 0,-36 10-322,-1 1-1,1 0 0,0-1 1,0 1-1,0 0 0,0 0 0,0 0 1,0 0-1,0 0 0,0 0 1,0 0-1,0 0 0,0 0 1,0 1-1,0-1 0,0 0 1,0 1-1,0-1 0,0 0 1,-1 1-1,1-1 0,0 1 1,0-1-1,0 1 0,-1 0 1,1-1-1,1 2 0,-2 0-6,0-1-1,0 1 1,0 0 0,0-1-1,0 0 1,0 1-1,0-1 1,0 1-1,-1 0 1,1-1 0,0 0-1,-1 1 1,1-1-1,-1 0 1,0 0-1,-1 3 1,-4 5 14,0 0-1,-1 0 1,-12 13 0,-36 29 1,41-40 1,0 1 1,1 0-1,0 3 1,1-2-1,0 1 0,-13 23 1,24-36-37,0 0 0,1 0 0,-1 0 1,1 1-1,-1-1 0,1 0 0,-1 1 1,1-1-1,0 0 0,-1 2 0,1-2 0,0 0 1,0 1-1,0-1 0,0 1 0,0-1 1,0 0-1,1 1 0,-1-1 0,0 0 1,1 1-1,-1-1 0,1 0 0,-1 1 0,2 1 1,0 0-3,0-1 1,0 0-1,0 0 1,1-1-1,-1 1 1,0 0-1,1-1 1,-1 1-1,1-1 1,0 0-1,4 2 1,5 0 4,-1 0 0,1-1 1,0 0-1,23 1 0,-2-2 264,-23-1-534,1 1 1,-1-1-1,1-1 0,18-3 0,-26 4 36,1-1 0,-1-1 0,0 1-1,0 0 1,0-1 0,0 0-1,0 0 1,0 0 0,0 0-1,0 0 1,-1 0 0,1-1-1,-1 1 1,0-1 0,0 1 0,0-1-1,0-1 1,3-4 0,5-13-1365,-6 10 538</inkml:trace>
  <inkml:trace contextRef="#ctx0" brushRef="#br0" timeOffset="-202685.34">5556 770 400,'10'-17'3276,"-10"17"-3228,0 0 0,0 0 0,0 0 0,0 0 0,0 0 0,0 0 0,0 0 0,0 0 0,0 0 1,0 1-1,0-1 0,0 0 0,0 0 0,0 0 0,0 0 0,0 0 0,0 0 0,0 0 0,0 0 1,0 0-1,1 0 0,-1 0 0,0 0 0,0 0 0,0 0 0,0 0 0,0 0 0,0 0 0,0 0 1,0 0-1,0 0 0,0 0 0,0 0 0,0 0 0,0 0 0,0 0 0,0 0 0,0 0 0,1 0 1,-1 0-1,0 0 0,0 0 0,0 0 0,0 0 0,0 0 0,0 0 0,0 0 0,0 0 0,0 0 1,0 0-1,-8 32 2659,0-5-2680,1 9 182,1 3-1,-1 61 1,7-76-199,1 1 0,1-1 0,1 1 0,1-2 0,8 30 0,-10-48-13,-1-1 1,1 1 0,0 0-1,1 0 1,-1-1-1,1 0 1,0 0-1,0 0 1,0 0-1,0 0 1,1 0 0,0-1-1,4 3 1,-6-5 1,-1 0 1,1 0 0,0 0 0,-1 0-1,1-1 1,0 1 0,0-1-1,0 1 1,0-1 0,0 0 0,0 0-1,-1 0 1,1 0 0,0 0-1,0 0 1,0 0 0,0-1 0,0 1-1,0-1 1,-1 1 0,1-1-1,0 0 1,0 1 0,-1-1 0,1 0-1,0 0 1,-1 0 0,1-1-1,-1 1 1,1 0 0,-1 0 0,0-1-1,0 1 1,1-1 0,-1 1-1,1-4 1,7-9 186,0-1-1,-1 0 1,0 0-1,-2 0 0,1-3 1,-2 3-1,0-1 1,-1-2-1,-1 2 1,0-1-1,-1-1 1,-1-24-1,-1 41-112,0-2-1,0 2 1,0-1-1,0 1 1,0-1-1,-1 1 1,1-1-1,0 0 1,-1 0-1,0 1 1,1-1 0,-2-1-1,-1 5 433,1 13-384,3 9-122,2-1 1,0 0-1,10 35 0,5 30-2212,-18-63-5,0-15-4636,0-11 5498</inkml:trace>
  <inkml:trace contextRef="#ctx0" brushRef="#br0" timeOffset="-200044.26">5842 396 324,'2'-8'1246,"-2"7"-1065,0-1-1,1 1 0,-1-1 1,0 1-1,1-1 1,-1 1-1,1 0 0,-1-2 1,1 2-1,0 0 0,0-1 1,-1 1-1,1 0 1,0 0-1,0 0 0,0 0 1,0 0-1,0 0 0,3-2 1,-4 3 111,3 2 391,0-1 0,0 1 0,-1 0 0,1-1 1,0 1-1,-1 0 0,5 6 0,35 67 1906,58 119-1403,-70-121-1151,30 107 1,-53-152-38,-2-1 0,0 3 0,-2-3 1,-1 3-1,-1-2 0,-2 0 0,-5 41 1,-1-27-383,-16 55 0,18-83-131,0 2 1,-1-2-1,-1 0 0,0 1 1,-1-1-1,-16 22 0,22-34 372,1 0-1,-1 0 0,0 0 0,0 0 0,1 0 1,-1 0-1,0-1 0,0 1 0,-1-1 1,1 0-1,0 0 0,0 0 0,-1 0 1,1 0-1,0 0 0,-1 0 0,1-1 1,-1 1-1,1-1 0,-1 0 0,1 0 1,-1 0-1,-2 0 0,2-1-39,1 0-1,0 0 1,0 0 0,0 0 0,0 0-1,0 0 1,0-1 0,1 1-1,-1-1 1,0 1 0,1-1-1,-1-1 1,1 2 0,-1-1 0,1 0-1,0 0 1,0 0 0,0 0-1,0 0 1,0 0 0,0 0-1,1-1 1,-1 1 0,1 0 0,-1-3-1,-1-7-1112</inkml:trace>
  <inkml:trace contextRef="#ctx0" brushRef="#br0" timeOffset="-197418.2">6378 712 188,'-2'0'515,"1"0"-399,0 0 0,0 1 1,0-1-1,0 0 0,1 0 0,-1 0 1,0 0-1,0 0 0,0 0 0,0 0 0,0-1 1,0 1-1,0 0 0,1 0 0,-1-1 1,0 1-1,0 0 0,0-1 0,1 1 1,-1-3-1,0 3 0,0-1 0,1 1 1,-1-1-1,0 1 0,1-1 0,-1 0 0,0-1 1,1 2 91,16-20 2439,-11 19-2418,1-1 0,-1 1 0,0 0 0,1 0 0,-1 1 0,1-1 0,-1 1 0,1 0 0,-1 1 0,8 0 0,24 1 351,-24-4-514,0 2 0,0 0 0,0 0 0,0 1 0,0 1 0,25 5 0,-38-6-103,1-1 0,-1 0 0,1 1 1,-1-1-1,1 0 0,0 0 0,-1 0 0,1 1 1,0-1-1,-1 0 0,1 0 0,0 0 1,-1 0-1,1 0 0,-1 0 0,1 0 1,0 0-1,-1-1 0,1 1 0,0 0 1,-1 0-1,1 0 0,-1-1 0,1 1 0,0 0 1,-1-1-1,1 1 0,-1 0 0,1-1 1,-1 1-1,1-1 0,-1 1 0,0-1 1,1 1-1,-1-1 0,0 1 0,1-1 0,-1 1 1,0-1-1,1 0 0,-1 1 0,0-1 1,0 1-1,0-1 0,0 0 0,2 1 1,-2-1-1,0 0 0,0 1 0,0-1 0,-2 1 1,2-1-1,0 0 0,0 1 0,0-1 1,0 0-1,0 1 0,-1-1 0,1 1 1,0-1-1,-1 0 0,0-1-251,1 0 1,-1 0-1,0 0 0,1 0 1,-1 0-1,0 0 0,0 0 0,0 1 1,-1-1-1,1 0 0,0 1 1,-1 0-1,1-1 0,-1 1 0,1 0 1,-1 0-1,1-1 0,-1 1 1,0 0-1,-2 0 0,-2 0-1208</inkml:trace>
  <inkml:trace contextRef="#ctx0" brushRef="#br0" timeOffset="-197079.92">6408 814 1288,'1'1'203,"1"0"0,-1 0 0,0-1 0,1 1 0,-1-1-1,0 1 1,1-1 0,-1 0 0,1 1 0,-1-1 0,1 0 0,-1 0 0,1 0-1,-1 0 1,1 0 0,-1-1 0,3 1 0,29-10 605,-16 6-273,9-2-68,1 2 0,44-2-1,-53-3-1091,-18 9 519,1 0-1,-1 0 1,1-1-1,-1 1 1,0 0-1,1 0 1,-1-1-1,0 1 0,1 0 1,-1-1-1,0 1 1,0 0-1,1-1 1,-1 1-1,0-1 1,0 1-1,1 0 1,-1-1-1,0 1 1,0-1-1,0 1 1,0-1-1,0 1 0,0-1 1,0 1-1,0-1 1,0 1-1,0 0 1,0-1-1,0 1 1,0-1-1,0 1 1,0-1-1,-1 1 1,1 0-1,0-1 1,0 1-1,0-1 0,-1 0 1,-1 0-1227</inkml:trace>
  <inkml:trace contextRef="#ctx0" brushRef="#br0" timeOffset="-195942.72">7050 410 648,'2'22'7126,"2"22"-4138,10 120-1271,-11-109-1344,28 328 438,-23-357-759,-7-22-165,1 1 1,-1-1-1,0 0 0,0 2 1,0-1-1,0 4 1,-4-3-2171,-4-12 480,-3-8 48,-10-27-693,14 26 1655,-1 2-1,-1 0 1,0-1 0,-13-16-1,13 21 331</inkml:trace>
  <inkml:trace contextRef="#ctx0" brushRef="#br0" timeOffset="-195600.44">6952 928 96,'-17'-10'1233,"15"8"-1012,1 1 0,-1 0 0,0 0 1,0 0-1,0 0 0,1 0 1,-1 0-1,1 0 0,-1-1 0,1 1 1,-1 0-1,1-1 0,0 1 0,-2-4 1,8 3 83,-1 0 1,1 1 0,0-1-1,0 1 1,8-1 0,-6 0-37,-3 1-148,130-28 2607,-119 27-2641,-1 1 0,1 0 0,-1 1 0,1 1 0,-1 0 0,0 1 0,20 5 0,-33-7-67,26 10-2128,-16-1-4082</inkml:trace>
  <inkml:trace contextRef="#ctx0" brushRef="#br0" timeOffset="-187656.37">7878 904 56,'-8'-57'784,"8"30"-624,-1-7 403,2 0 0,7-42 0,-11 35 570,2 33-1074,-7-37-78,2-71 3220,-4 110-3026,11-1-182,0 6 7,0-1 0,-1 1 0,1-1 0,-1-1 0,0 2 0,1-1 0,-1 1-1,0-1 1,0 0 0,0 1 0,0-1 0,0 0 0,0 1 0,0-1-1,-1 1 1,1-1 0,-1 1 0,1-1 0,-1 1 0,0-3 0,0 3 0,21 182 940,-14-20-1712,-22-151-4529,12-8 4321</inkml:trace>
  <inkml:trace contextRef="#ctx0" brushRef="#br0" timeOffset="-186711.36">7750 976 364,'0'0'1081,"12"-14"2414,-3 9-2931,0 2 0,1-1 0,16-3 1,62-9 495,16-2 17,-102 17-1068,3 0 4,1 1 1,-1-1-1,1 1 0,-1 0 0,0 0 0,1 0 1,-1 1-1,0 0 0,1 0 0,-1 0 0,10 5 1,-15-6-103,0 0 0,0 2 1,1-2-1,-1 0 1,0 1-1,0-1 1,0 1-1,0-1 0,0 0 1,0 1-1,0-1 1,0 0-1,0 1 1,0-1-1,0 1 0,0-1 1,0 0-1,0 1 1,-1-1-1,1 0 1,0 1-1,0-1 0,0 0 1,0 1-1,-1-1 1,1 0-1,0 1 1,0-1-1,-1 0 1,1 0-1,0 1 0,-1-1 1,-14 20-2946,5-7 1126,6-8 771</inkml:trace>
  <inkml:trace contextRef="#ctx0" brushRef="#br0" timeOffset="-186105.53">7774 1188 508,'-1'-1'138,"0"0"0,1 0 0,-1-1 0,1 1-1,-1 0 1,1 0 0,-1-2 0,1 2 0,0 0 0,-1-1 0,1 1 0,0 0-1,0-1 1,0 1 0,0-1 0,0 1 0,1 0 0,-1-1 0,0 1 0,1 0-1,-1 0 1,1-1 0,-1 1 0,1 0 0,-1 0 0,1-1 0,0 1 0,0 0-1,-1 0 1,1 0 0,0 0 0,2-1 0,1-3-8,0 0 1,0 0-1,1-1 0,0 2 1,9-7-1,-10 8-36,12-6 273,0 0 0,23-10 0,-36 18-281,1-1 0,0 1 1,-1 0-1,1 0 0,0 0 1,-1 1-1,1-1 0,0 1 1,0 0-1,0 0 1,-1 0-1,1 0 0,0 1 1,0 0-1,0-1 0,-1 1 1,1 1-1,4 1 0,-7-3-44,0 1 0,0 0 0,1 0 0,-1 0 0,0 1 0,0-1 0,0 1 0,0-1 0,0 0 0,0 0 0,0 1-1,0-1 1,-1 1 0,1-1 0,-1 1 0,1-1 0,-1 1 0,1-1 0,-1 3 0,1 0-19,-1 0 1,0 0-1,-1 0 0,1-1 1,-1 1-1,0 0 0,1 2 1,-3 1-1,-1 3-28,0 0 0,-1-1 0,0 1-1,-1 0 1,-6 8 0,-1-3 2,0-1 0,0-1 0,-25 17 0,-2 5 149,39-35-143,1 0 0,0 1 0,0-1 0,0 0 0,0 0 0,0 0 0,0 0 0,0 0 0,0 0 0,-1 1 0,1-1 0,0 0 0,0 0 0,0 0 0,0 0 0,0 0 0,0 1 0,0-1 0,0 0 0,0 0 0,0 0 0,0 0 0,0 1 0,0-1 0,0 0 0,0 0 0,0 0 0,0 0 0,1 0 0,-1 1 0,0-1 0,0 0 0,0 0 0,0 0 0,0 0 0,0 0 0,0 0 0,0 1 0,0-1 0,1 0 0,-1 0 0,0 0 0,0 0 0,0 0 0,0 0 0,0 0 0,1 0 0,-1 0 0,0 0 0,0 0 0,0 1 0,0-1 0,16 4 40,17 2 85,30-2 139,-35-3-348,52 11 0,-71-7-1184,-9-5 1126,0 1 1,1-1 0,-1 1 0,0-1-1,1 0 1,-1 1 0,1-1-1,-1 1 1,1-1 0,-1 0-1,1 1 1,-1-1 0,1 0-1,-1 1 1,1-1 0,-1 0 0,1 0-1,0 0 1,-1 0 0,1 1-1,-1-1 1,1 0 0,0 0-1,-1 0 1,1 0 0,-1 0-1,1 0 1,0 0 0,-1-1 0,1 1-1,-1 0 1,1 0 0,0 0-1,-1-1 1,1 1 0,-1 0-1,1-1 1,-1 1 0,1 0 0,-1-1-1,1 1 1,-1 0 0,0-1-1,1 1 1,-1-1 0,1 1-1,-1-1 1,0 1 0,0-1-1,1 1 1,-1-2 0,2-1-1055</inkml:trace>
  <inkml:trace contextRef="#ctx0" brushRef="#br0" timeOffset="-185051.49">8314 1028 204,'-2'-138'2627,"3"129"-1762,1 13 294,1 17-191,-6 46-195,1-51-686,0 1 0,2 1-1,0-2 1,1 2 0,1 0 0,6 24 0,-6-32-83,1-2 0,0 0 0,0-1-1,1 1 1,5 7 0,-7-13-6,-1 2-1,1-2 1,0 0-1,-1-1 0,1 1 1,0 0-1,0 0 1,0-1-1,0 1 1,0-1-1,1 1 0,-1-1 1,0 0-1,1 0 1,-1 0-1,1 0 1,-1-1-1,1 1 0,-1-1 1,6 1-1,-7-1 5,0 0 0,0-1-1,0 1 1,0-1 0,0 1-1,0-1 1,0 1 0,0-1-1,0 1 1,0-1 0,0 0-1,0 0 1,-1 1 0,1-1-1,0 0 1,0 0 0,-1 0-1,1 0 1,0 0 0,-1 0-1,1 0 1,0-2 0,10-29 145,-8 24-94,3-10 44,-1-1 0,0 1 0,-1-2 0,-1 2 1,-1-1-1,-1-1 0,0 2 0,-4-39 0,1 54 1533,1 7-666,0 22-422,5 36-707,1-33-308,2-1 1,1-1-1,12 30 0,-11-31-762,-9-24 881,1-1-1,-1 0 1,1 1-1,-1-1 0,0 0 1,0 1-1,1-1 1,-1 0-1,0 2 1,0-2-1,0 1 0,0-1 1,-1 0-1,1 1 1,0-1-1,-1 2 1</inkml:trace>
  <inkml:trace contextRef="#ctx0" brushRef="#br0" timeOffset="-184204.59">8714 1054 724,'0'-2'250,"0"0"0,0 0 0,0-1 0,1 1 0,-1-1 0,1 1 1,-1 0-1,1-1 0,0 1 0,0 0 0,0 0 0,0 0 0,0 1 0,1-2 0,-1 1 0,1 0 0,-1 0 0,1 1 0,-1-1 0,4-1 0,-1 0-60,0 1 0,1-1-1,-1 1 1,1 0 0,0 1-1,0-1 1,0 1 0,0 0-1,5-1 1,5 1 39,0 0-1,0 1 1,0 0 0,0 1-1,26 5 1,-33-4-141,0 0-1,0 0 1,0 1 0,0 0-1,0 1 1,9 5 0,-8-8-3,1 2-919,-15 1-932,-16-9-3517,17 5 3899</inkml:trace>
  <inkml:trace contextRef="#ctx0" brushRef="#br0" timeOffset="-183844.77">8878 838 92,'0'-1'77,"0"1"0,-1 0 0,1 0-1,0 0 1,0 0 0,0-1 0,0 1 0,0 0-1,0 0 1,0 0 0,0-1 0,0 1 0,0 0 0,0 0-1,0 0 1,0-1 0,0 1 0,0 0 0,0 0 0,0-1-1,0 1 1,0 0 0,0 0 0,0 0 0,0 0 0,0-1-1,0 1 1,0 0 0,0 0 0,1 0 0,-1-1 0,0 1-1,0 0 1,0 0 0,0 0 0,0 0 0,1 0 0,-1 0-1,0-1 1,0 1 0,0 0 0,1 0 0,-1 0 0,0 0-1,0 0 1,0 0 0,1 0 0,-1 0 0,0 0 0,0 0-1,0 0 1,1 0 0,3 11 1301,-14 133 2234,0-5-1524,10-117-2886,0-11-2746,6-21-1735,-2 6 4022</inkml:trace>
  <inkml:trace contextRef="#ctx0" brushRef="#br0" timeOffset="-183423.7">9256 546 584,'0'-1'226,"0"0"-1,0-2 1,0 2-1,0 0 1,0 0 0,0 0-1,0-1 1,1 1 0,-1 0-1,0 0 1,1 0-1,-1 0 1,1 0 0,0-2-1,0 3-152,-1 0 0,0 0-1,1-1 1,-1 1-1,0 0 1,0 0 0,1 0-1,-1 0 1,0 0 0,1-1-1,-1 1 1,1 0 0,-1 0-1,0 0 1,1 0-1,-1 0 1,0 0 0,1 0-1,-1 0 1,0 0 0,1 0-1,-1 0 1,0 0 0,1 1-1,-1-1 1,0 0 0,1 0-1,-1 0 1,1 1-1,1 0 55,-1 0-1,1 0 0,-1 1 1,0-1-1,1 1 0,-1-1 1,0 1-1,0-1 0,0 1 1,0 1-1,0-2 0,0 1 1,0 0-1,-1 0 0,2 4 1,3 29 356,-2 2 1,-2 0-1,-1-2 1,-4 41-1,-1 35-1341,5-110 491,-15-5-4473,11 2 3053,1 2 321</inkml:trace>
  <inkml:trace contextRef="#ctx0" brushRef="#br0" timeOffset="-183079.22">9214 922 1572,'10'3'1087,"1"0"1,-1-1-1,17 1 0,-15-3-971,0 0 0,0-1 0,0-1 0,0 1 0,16-6 0,-15 3-102,27-7 100,-38 10-144,1 1-1,-1-1 1,0 1-1,0 0 1,1 0-1,-1 0 1,0 0-1,1 0 1,-1 1-1,0-1 1,1 1-1,-1-1 1,2 2 0,-3-1-144,0 0 0,-1 0 1,1 0-1,-1 1 1,1-1-1,-1 1 1,1-1-1,-1 1 1,0-1-1,0 0 0,0 0 1,1 1-1,-1-1 1,-1 0-1,1 1 1,0-1-1,0 0 0,0 0 1,-1 1-1,1-1 1,-1 2-1,-1 3-994</inkml:trace>
  <inkml:trace contextRef="#ctx0" brushRef="#br0" timeOffset="-182681.81">9284 1118 440,'46'-32'2821,"-30"21"-2252,31-19 1,-40 26-473,-1 0 52,-1 2-1,1-1 1,0 1-1,11-4 1,-16 6-123,0 0-1,0 0 1,-1 0-1,1 0 1,0 0-1,0 0 1,-1 0-1,1 0 1,0 0-1,-1 0 1,1 0-1,0 0 1,0 1-1,-1-1 1,1 0-1,0 1 1,-1-1 0,1 0-1,-1 1 1,1-1-1,0 1 1,-1-1-1,1 1 1,-1-1-1,1 1 1,-1-1-1,1 1 1,-1-1-1,0 1 1,1 0-1,-1-1 1,0 1-1,1 0 1,-1-1-1,0 1 1,0 0-1,0-1 1,1 1-1,-1 0 1,0 0 0,0-1-1,0 1 1,0 1-1,0-2 1,-1 1-1,1 0 1,0 0-1,0-1 1,0 1-1,-1 0 1,0 1-1,0 6 53,-1 0-1,0-1 0,-1 2 0,0-1 1,0-1-1,-1 0 0,0 1 1,-9 14-1,-5 0 208,-25 27 1,18-20 496,24-28-763,0 0-1,0 0 1,0 0-1,0 0 1,1 0-1,-1 0 1,0 0-1,1 0 1,-1 0-1,0 0 1,1 0-1,-1 0 1,1 0-1,0 0 1,-1 1-1,1-1 1,0 0-1,0 0 1,0 0-1,0 1 1,0-1-1,0 0 1,0 0-1,0 1 1,1-1-1,-1 0 1,0 0-1,1 0 1,-1 0-1,1 1 1,-1-1-1,1 0 1,-1 0-1,1 0 1,0 0-1,0 0 1,0 0-1,-1 0 1,1-1-1,0 1 1,0 0-1,0 0 1,0-1-1,0 1 1,0 0-1,2 1 1,6 2-29,0 1 0,0-1 1,1 0-1,15 3 1,-5-5-221,0 0 0,-1-1 0,1-1 0,34-4 0,-49 4-105,0-1 0,-1 0 0,1 0 0,0 0 0,0-1 0,-1 0 0,1 0 0,-1 0 0,1 0 0,-1-2 0,0 2 0,0-1-1,0-1 1,0 1 0,-1-1 0,1 1 0,-1-1 0,4-5 0,1-1-863</inkml:trace>
  <inkml:trace contextRef="#ctx0" brushRef="#br0" timeOffset="-182280.2">9860 803 252,'-4'21'1567,"2"0"0,0 28 1,2-31-1375,1 2 0,1-2 0,1 3 1,1-3-1,6 20 0,-2-9-4,-6-19-35,1 2-1,0-2 0,1 0 1,0 1-1,0-2 1,1 3-1,0-2 0,1-1 1,12 15-1,-17-24-124,-1 1-1,1 0 1,0-1-1,0 1 1,0-1-1,-1 0 1,1 1 0,0-1-1,0 0 1,0 0-1,0 1 1,0-1-1,0 0 1,0 0 0,0 0-1,0 0 1,0 0-1,0 0 1,0 0-1,-1 0 1,1-1-1,0 1 1,0 0 0,0-1-1,0 1 1,0 0-1,0-1 1,-1 1-1,1-1 1,0 1 0,0-1-1,-1 0 1,1 1-1,0-1 1,-1 0-1,1 1 1,0-1 0,0-1-1,25-37 956,-19 25-646,54-88 1335,-40 63-1439,3-1 0,46-57-1,-57 86-1666,-1 18-5876,-10-5 6059</inkml:trace>
  <inkml:trace contextRef="#ctx0" brushRef="#br0" timeOffset="-181875.5">10456 400 676,'0'8'1105,"1"0"1,0 0-1,0 0 1,4 13-1,28 61 937,-2-3-1417,-17-24-473,-3 1 0,-2-1-1,-2 2 1,-2 0 0,-3-2-1,-3 2 1,-11 85 0,4-98-339,-1-1 0,-3-1 0,-2 1 0,-1-2 0,-2 1 0,-2-3 0,-1 0 0,-2-1 0,-2 0 0,-2-3 0,-41 48 0,52-67 38,-1-1 1,-1 0-1,0-1 0,-1-2 0,0 1 1,-1-2-1,0-1 0,0-1 1,-35 14-1,37-18-220,-1-1 0,1 0-1,-1-2 1,1 0 0,-1-1 0,0 0 0,1-2 0,-1 0 0,0-1 0,1 0-1,-1-2 1,-19-6 0,13 1-857</inkml:trace>
  <inkml:trace contextRef="#ctx0" brushRef="#br0" timeOffset="-180980.02">8138 178 240,'-20'10'5047,"-23"25"-3862,5-5-836,-165 127 287,190-145-603,1 0 1,1 2 0,0 0 0,1 0 0,0 0-1,1 2 1,1-2 0,0 2 0,1 1-1,1-1 1,0 0 0,1 1 0,-4 24 0,-1 22 102,3 2 0,2 82 0,4-130-131,1 250 107,3-204-89,3 0-1,17 77 1,-18-118-38,2 1 0,0-1 0,11 24 0,-15-39-168,1-1 0,-1 2 0,1-2 1,0 1-1,1-1 0,-1 0 1,1 0-1,0-1 0,1 0 0,0 0 1,-1 1-1,1-2 0,11 7 1,-15-11-7,0 1 0,-1 0 0,1-1 0,0 1 0,0-1 0,0 0 0,0 0 0,0 0 0,0 0 0,0 0 0,0 0 0,0 0 0,0 0 0,0-1 0,0 1 0,0-1 0,0 0 1,0 1-1,-1-1 0,1 0 0,0 0 0,2-2 0,2-2-1194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B1F9-33EC-4702-938E-FB5DC7D1F9B3}">
  <dimension ref="C2:U37"/>
  <sheetViews>
    <sheetView tabSelected="1" topLeftCell="A5" zoomScale="82" zoomScaleNormal="85" workbookViewId="0">
      <selection activeCell="K6" sqref="K6"/>
    </sheetView>
  </sheetViews>
  <sheetFormatPr defaultRowHeight="14.45"/>
  <cols>
    <col min="3" max="7" width="9" bestFit="1" customWidth="1"/>
    <col min="8" max="8" width="12.7109375" customWidth="1"/>
    <col min="9" max="9" width="9" bestFit="1" customWidth="1"/>
    <col min="10" max="10" width="10.7109375" bestFit="1" customWidth="1"/>
    <col min="11" max="15" width="9" bestFit="1" customWidth="1"/>
    <col min="19" max="19" width="19.7109375" bestFit="1" customWidth="1"/>
    <col min="20" max="21" width="9" bestFit="1" customWidth="1"/>
  </cols>
  <sheetData>
    <row r="2" spans="3:21">
      <c r="M2" t="s">
        <v>0</v>
      </c>
    </row>
    <row r="3" spans="3:21" ht="15" thickBot="1"/>
    <row r="4" spans="3:21" ht="57.6" thickBot="1">
      <c r="C4" s="1" t="s">
        <v>1</v>
      </c>
      <c r="D4" s="1" t="s">
        <v>2</v>
      </c>
      <c r="E4" s="1" t="s">
        <v>3</v>
      </c>
      <c r="F4" s="1" t="s">
        <v>4</v>
      </c>
      <c r="G4" s="8" t="s">
        <v>5</v>
      </c>
      <c r="H4" s="8" t="s">
        <v>6</v>
      </c>
      <c r="I4" s="1" t="s">
        <v>7</v>
      </c>
      <c r="J4" s="1" t="s">
        <v>8</v>
      </c>
      <c r="K4" s="10" t="s">
        <v>9</v>
      </c>
      <c r="L4" s="10" t="s">
        <v>10</v>
      </c>
      <c r="M4" s="10" t="s">
        <v>11</v>
      </c>
      <c r="N4" s="10" t="s">
        <v>12</v>
      </c>
      <c r="O4" s="10" t="s">
        <v>13</v>
      </c>
      <c r="P4" s="10" t="s">
        <v>14</v>
      </c>
      <c r="R4" s="10" t="s">
        <v>10</v>
      </c>
    </row>
    <row r="5" spans="3:21" ht="15" thickBot="1">
      <c r="C5" s="3">
        <v>0</v>
      </c>
      <c r="D5" s="2">
        <v>15</v>
      </c>
      <c r="E5" s="2">
        <v>101.35</v>
      </c>
      <c r="F5" s="2">
        <v>340.3</v>
      </c>
      <c r="G5">
        <f>F5*2</f>
        <v>680.6</v>
      </c>
      <c r="H5" s="2"/>
      <c r="J5" s="9">
        <v>9.8066499999999994</v>
      </c>
      <c r="K5">
        <f t="shared" ref="K5:K34" si="0">1000*E5/($T$5*(D5+273.15))</f>
        <v>1.225527983695097</v>
      </c>
      <c r="L5">
        <f t="shared" ref="L5:L17" si="1">K5*G5*$L$19/($K$19*$G$19)</f>
        <v>0.37094407437488064</v>
      </c>
      <c r="P5">
        <f>60*L5*1.5/$T$6</f>
        <v>41.523590415098575</v>
      </c>
      <c r="Q5">
        <f>P5/1.5</f>
        <v>27.682393610065716</v>
      </c>
      <c r="S5" t="s">
        <v>15</v>
      </c>
      <c r="T5">
        <v>287</v>
      </c>
    </row>
    <row r="6" spans="3:21" ht="15" thickBot="1">
      <c r="C6" s="3">
        <v>250</v>
      </c>
      <c r="D6" s="2">
        <v>13.4</v>
      </c>
      <c r="E6" s="2">
        <v>98.32</v>
      </c>
      <c r="F6" s="2">
        <v>339.3</v>
      </c>
      <c r="G6">
        <f t="shared" ref="G5:G34" si="2">F6*2</f>
        <v>678.6</v>
      </c>
      <c r="H6" s="2"/>
      <c r="J6" s="4"/>
      <c r="K6">
        <f t="shared" si="0"/>
        <v>1.1955274723871701</v>
      </c>
      <c r="L6">
        <f t="shared" si="1"/>
        <v>0.36080012254909033</v>
      </c>
      <c r="P6">
        <f t="shared" ref="P6:P34" si="3">60*L6*1.5/$T$6</f>
        <v>40.388073419674285</v>
      </c>
      <c r="Q6">
        <f t="shared" ref="Q6:Q34" si="4">P6/1.5</f>
        <v>26.925382279782855</v>
      </c>
      <c r="S6" t="s">
        <v>16</v>
      </c>
      <c r="T6">
        <v>0.80400000000000005</v>
      </c>
    </row>
    <row r="7" spans="3:21" ht="15" thickBot="1">
      <c r="C7" s="3">
        <v>500</v>
      </c>
      <c r="D7" s="2">
        <v>11.8</v>
      </c>
      <c r="E7" s="2">
        <v>95.49</v>
      </c>
      <c r="F7" s="2">
        <v>338.4</v>
      </c>
      <c r="G7">
        <f t="shared" si="2"/>
        <v>676.8</v>
      </c>
      <c r="H7" s="2"/>
      <c r="J7" s="4"/>
      <c r="K7">
        <f t="shared" si="0"/>
        <v>1.1676356204065388</v>
      </c>
      <c r="L7">
        <f t="shared" si="1"/>
        <v>0.35144789467628657</v>
      </c>
      <c r="P7">
        <f t="shared" si="3"/>
        <v>39.341182239882819</v>
      </c>
      <c r="Q7">
        <f t="shared" si="4"/>
        <v>26.227454826588545</v>
      </c>
    </row>
    <row r="8" spans="3:21" ht="15" thickBot="1">
      <c r="C8" s="3">
        <v>750</v>
      </c>
      <c r="D8" s="2">
        <v>10.1</v>
      </c>
      <c r="E8" s="2">
        <v>92.67</v>
      </c>
      <c r="F8" s="2">
        <v>337.4</v>
      </c>
      <c r="G8">
        <f t="shared" si="2"/>
        <v>674.8</v>
      </c>
      <c r="H8" s="2"/>
      <c r="J8" s="4"/>
      <c r="K8">
        <f t="shared" si="0"/>
        <v>1.1399540549433991</v>
      </c>
      <c r="L8">
        <f t="shared" si="1"/>
        <v>0.34210205452751513</v>
      </c>
      <c r="P8">
        <f t="shared" si="3"/>
        <v>38.295006103826317</v>
      </c>
      <c r="Q8">
        <f t="shared" si="4"/>
        <v>25.530004069217544</v>
      </c>
    </row>
    <row r="9" spans="3:21" ht="15" thickBot="1">
      <c r="C9" s="3">
        <v>1000</v>
      </c>
      <c r="D9" s="2">
        <v>8.5</v>
      </c>
      <c r="E9" s="2">
        <v>89.84</v>
      </c>
      <c r="F9" s="2">
        <v>336.4</v>
      </c>
      <c r="G9">
        <f t="shared" si="2"/>
        <v>672.8</v>
      </c>
      <c r="H9" s="2"/>
      <c r="J9" s="4"/>
      <c r="K9">
        <f t="shared" si="0"/>
        <v>1.1114197013492544</v>
      </c>
      <c r="L9">
        <f t="shared" si="1"/>
        <v>0.33255029272904962</v>
      </c>
      <c r="P9">
        <f t="shared" si="3"/>
        <v>37.225779036833913</v>
      </c>
      <c r="Q9">
        <f t="shared" si="4"/>
        <v>24.817186024555941</v>
      </c>
    </row>
    <row r="10" spans="3:21" ht="15" thickBot="1">
      <c r="C10" s="3">
        <v>1250</v>
      </c>
      <c r="D10" s="2">
        <v>6.9</v>
      </c>
      <c r="E10" s="2">
        <v>87.15</v>
      </c>
      <c r="F10" s="2">
        <v>335.5</v>
      </c>
      <c r="G10">
        <f t="shared" si="2"/>
        <v>671</v>
      </c>
      <c r="H10" s="2"/>
      <c r="J10" s="4"/>
      <c r="K10">
        <f t="shared" si="0"/>
        <v>1.0843011483141078</v>
      </c>
      <c r="L10">
        <f t="shared" si="1"/>
        <v>0.32356809989848623</v>
      </c>
      <c r="P10">
        <f t="shared" si="3"/>
        <v>36.220309690129056</v>
      </c>
      <c r="Q10">
        <f t="shared" si="4"/>
        <v>24.146873126752705</v>
      </c>
    </row>
    <row r="11" spans="3:21" ht="15" thickBot="1">
      <c r="C11" s="3">
        <v>1500</v>
      </c>
      <c r="D11" s="2">
        <v>5.3</v>
      </c>
      <c r="E11" s="2">
        <v>84.53</v>
      </c>
      <c r="F11" s="2">
        <v>334.5</v>
      </c>
      <c r="G11">
        <f t="shared" si="2"/>
        <v>669</v>
      </c>
      <c r="H11" s="2"/>
      <c r="J11" s="4"/>
      <c r="K11">
        <f t="shared" si="0"/>
        <v>1.057746872776939</v>
      </c>
      <c r="L11">
        <f t="shared" si="1"/>
        <v>0.31470317791977925</v>
      </c>
      <c r="P11">
        <f t="shared" si="3"/>
        <v>35.22796767758723</v>
      </c>
      <c r="Q11">
        <f t="shared" si="4"/>
        <v>23.485311785058155</v>
      </c>
    </row>
    <row r="12" spans="3:21" ht="15" thickBot="1">
      <c r="C12" s="3">
        <v>1750</v>
      </c>
      <c r="D12" s="2">
        <v>3.6</v>
      </c>
      <c r="E12" s="2">
        <v>81.98</v>
      </c>
      <c r="F12" s="2">
        <v>333.5</v>
      </c>
      <c r="G12">
        <f t="shared" si="2"/>
        <v>667</v>
      </c>
      <c r="H12" s="2"/>
      <c r="J12" s="4"/>
      <c r="K12">
        <f t="shared" si="0"/>
        <v>1.0321394735433997</v>
      </c>
      <c r="L12">
        <f t="shared" si="1"/>
        <v>0.30616636804825237</v>
      </c>
      <c r="P12">
        <f t="shared" si="3"/>
        <v>34.272354632267053</v>
      </c>
      <c r="Q12">
        <f t="shared" si="4"/>
        <v>22.84823642151137</v>
      </c>
    </row>
    <row r="13" spans="3:21" ht="15" thickBot="1">
      <c r="C13" s="3">
        <v>2000</v>
      </c>
      <c r="D13" s="2">
        <v>2</v>
      </c>
      <c r="E13" s="2">
        <v>79.5</v>
      </c>
      <c r="F13" s="2">
        <v>332.5</v>
      </c>
      <c r="G13">
        <f t="shared" si="2"/>
        <v>665</v>
      </c>
      <c r="H13" s="2">
        <v>0</v>
      </c>
      <c r="J13" s="4"/>
      <c r="K13">
        <f t="shared" si="0"/>
        <v>1.0067362686554879</v>
      </c>
      <c r="L13">
        <f t="shared" si="1"/>
        <v>0.29773550046774083</v>
      </c>
      <c r="M13">
        <v>0</v>
      </c>
      <c r="N13">
        <f>M13*1.5</f>
        <v>0</v>
      </c>
      <c r="O13">
        <f t="shared" ref="O13:O34" si="5">N13/$T$6</f>
        <v>0</v>
      </c>
      <c r="P13">
        <f t="shared" si="3"/>
        <v>33.328600798627704</v>
      </c>
      <c r="Q13">
        <f t="shared" si="4"/>
        <v>22.219067199085135</v>
      </c>
      <c r="R13">
        <f>N12-N13</f>
        <v>0</v>
      </c>
      <c r="S13">
        <f>(G13-G14)/(H14-H13)</f>
        <v>5.0395599999999403</v>
      </c>
    </row>
    <row r="14" spans="3:21" ht="15" thickBot="1">
      <c r="C14" s="3">
        <v>2500</v>
      </c>
      <c r="D14" s="2">
        <v>-1.2</v>
      </c>
      <c r="E14" s="2">
        <v>74.67</v>
      </c>
      <c r="F14" s="2">
        <v>330.6</v>
      </c>
      <c r="G14">
        <f t="shared" si="2"/>
        <v>661.2</v>
      </c>
      <c r="H14" s="2">
        <f>H13+(C14-C13)/(0.5*(G13+G14))</f>
        <v>0.75403408234052172</v>
      </c>
      <c r="I14">
        <f>(G14-G13)/(H14-H13)</f>
        <v>-5.0395599999999403</v>
      </c>
      <c r="J14" s="4">
        <f>I14/$J$5</f>
        <v>-0.51389210382749873</v>
      </c>
      <c r="K14">
        <f t="shared" si="0"/>
        <v>0.95669871677835849</v>
      </c>
      <c r="L14">
        <f t="shared" si="1"/>
        <v>0.28132044587097094</v>
      </c>
      <c r="M14">
        <f>(H14-H13)*L14+M13</f>
        <v>0.21212520424594397</v>
      </c>
      <c r="N14">
        <f t="shared" ref="N14:N34" si="6">M14*1.5</f>
        <v>0.31818780636891597</v>
      </c>
      <c r="O14">
        <f t="shared" si="5"/>
        <v>0.39575597807079099</v>
      </c>
      <c r="P14">
        <f t="shared" si="3"/>
        <v>31.491094687048982</v>
      </c>
      <c r="Q14">
        <f t="shared" si="4"/>
        <v>20.99406312469932</v>
      </c>
      <c r="R14">
        <f>ABS(N13-N14)</f>
        <v>0.31818780636891597</v>
      </c>
      <c r="S14">
        <f>(G14-G15)/(H15-H14)</f>
        <v>5.2736000000000001</v>
      </c>
    </row>
    <row r="15" spans="3:21" ht="15" thickBot="1">
      <c r="C15" s="3">
        <v>3000</v>
      </c>
      <c r="D15" s="2">
        <v>-4.5</v>
      </c>
      <c r="E15" s="2">
        <v>70.12</v>
      </c>
      <c r="F15" s="2">
        <v>328.6</v>
      </c>
      <c r="G15">
        <f t="shared" si="2"/>
        <v>657.2</v>
      </c>
      <c r="H15" s="2">
        <f t="shared" ref="H15:H34" si="7">H14+(C15-C14)/(0.5*(G14+G15))</f>
        <v>1.5125292279715896</v>
      </c>
      <c r="I15">
        <f t="shared" ref="I15:I34" si="8">(G15-G14)/(H15-H14)</f>
        <v>-5.2736000000000001</v>
      </c>
      <c r="J15" s="4">
        <f t="shared" ref="J15:J34" si="9">I15/$J$5</f>
        <v>-0.53775754207604032</v>
      </c>
      <c r="K15">
        <f t="shared" si="0"/>
        <v>0.90943814439340864</v>
      </c>
      <c r="L15">
        <f t="shared" si="1"/>
        <v>0.26580551115427037</v>
      </c>
      <c r="M15">
        <f>(H15-H14)*L15+M14</f>
        <v>0.41373739413844268</v>
      </c>
      <c r="N15">
        <f t="shared" si="6"/>
        <v>0.62060609120766408</v>
      </c>
      <c r="O15">
        <f t="shared" si="5"/>
        <v>0.77189812339261699</v>
      </c>
      <c r="P15">
        <f t="shared" si="3"/>
        <v>29.754348263537725</v>
      </c>
      <c r="Q15">
        <f t="shared" si="4"/>
        <v>19.836232175691816</v>
      </c>
      <c r="R15">
        <f t="shared" ref="R15:R33" si="10">ABS(N14-N15)</f>
        <v>0.30241828483874811</v>
      </c>
    </row>
    <row r="16" spans="3:21" ht="15" thickBot="1">
      <c r="C16" s="3">
        <v>3500</v>
      </c>
      <c r="D16" s="2">
        <v>-7.7</v>
      </c>
      <c r="E16" s="2">
        <v>65.78</v>
      </c>
      <c r="F16" s="2">
        <v>326.60000000000002</v>
      </c>
      <c r="G16">
        <f t="shared" si="2"/>
        <v>653.20000000000005</v>
      </c>
      <c r="H16" s="2">
        <f t="shared" si="7"/>
        <v>2.2756549910973529</v>
      </c>
      <c r="I16">
        <f t="shared" si="8"/>
        <v>-5.2415999999999991</v>
      </c>
      <c r="J16" s="4">
        <f t="shared" si="9"/>
        <v>-0.53449445019451081</v>
      </c>
      <c r="K16">
        <f t="shared" si="0"/>
        <v>0.86343419202025629</v>
      </c>
      <c r="L16">
        <f t="shared" si="1"/>
        <v>0.25082376324854655</v>
      </c>
      <c r="M16">
        <f t="shared" ref="M16:M34" si="11">(H16-H15)*L16+M15</f>
        <v>0.60514746987756551</v>
      </c>
      <c r="N16">
        <f t="shared" si="6"/>
        <v>0.90772120481634833</v>
      </c>
      <c r="O16">
        <f t="shared" si="5"/>
        <v>1.1290064736521745</v>
      </c>
      <c r="P16">
        <f t="shared" si="3"/>
        <v>28.077286930807446</v>
      </c>
      <c r="Q16">
        <f t="shared" si="4"/>
        <v>18.718191287204963</v>
      </c>
      <c r="R16">
        <f t="shared" si="10"/>
        <v>0.28711511360868425</v>
      </c>
      <c r="S16">
        <f>F14-F31</f>
        <v>35.5</v>
      </c>
      <c r="T16">
        <f>G14-G31</f>
        <v>71</v>
      </c>
      <c r="U16">
        <f>H30</f>
        <v>14.338977145963115</v>
      </c>
    </row>
    <row r="17" spans="3:20" ht="15" thickBot="1">
      <c r="C17" s="3">
        <v>4000</v>
      </c>
      <c r="D17" s="2">
        <v>-11</v>
      </c>
      <c r="E17" s="2">
        <v>61.64</v>
      </c>
      <c r="F17" s="2">
        <v>324.60000000000002</v>
      </c>
      <c r="G17">
        <f t="shared" si="2"/>
        <v>649.20000000000005</v>
      </c>
      <c r="H17" s="2">
        <f t="shared" si="7"/>
        <v>3.0434682589106208</v>
      </c>
      <c r="I17">
        <f t="shared" si="8"/>
        <v>-5.2096</v>
      </c>
      <c r="J17" s="4">
        <f t="shared" si="9"/>
        <v>-0.53123135831298152</v>
      </c>
      <c r="K17">
        <f t="shared" si="0"/>
        <v>0.81927720451559449</v>
      </c>
      <c r="L17">
        <f t="shared" si="1"/>
        <v>0.23653893828985556</v>
      </c>
      <c r="M17">
        <f t="shared" si="11"/>
        <v>0.78676520505098035</v>
      </c>
      <c r="N17">
        <f t="shared" si="6"/>
        <v>1.1801478075764704</v>
      </c>
      <c r="O17">
        <f t="shared" si="5"/>
        <v>1.4678455318115302</v>
      </c>
      <c r="P17">
        <f t="shared" si="3"/>
        <v>26.478239360804725</v>
      </c>
      <c r="Q17">
        <f t="shared" si="4"/>
        <v>17.652159573869817</v>
      </c>
      <c r="R17">
        <f t="shared" si="10"/>
        <v>0.27242660276012209</v>
      </c>
      <c r="T17">
        <f>T16/U16</f>
        <v>4.9515386821011003</v>
      </c>
    </row>
    <row r="18" spans="3:20" ht="15" thickBot="1">
      <c r="C18" s="3">
        <v>4500</v>
      </c>
      <c r="D18" s="2">
        <v>-14.2</v>
      </c>
      <c r="E18" s="2">
        <v>57.78</v>
      </c>
      <c r="F18" s="2">
        <v>322.60000000000002</v>
      </c>
      <c r="G18">
        <f t="shared" si="2"/>
        <v>645.20000000000005</v>
      </c>
      <c r="H18" s="2">
        <f t="shared" si="7"/>
        <v>3.81602697337292</v>
      </c>
      <c r="I18">
        <f t="shared" si="8"/>
        <v>-5.1776</v>
      </c>
      <c r="J18" s="4">
        <f t="shared" si="9"/>
        <v>-0.52796826643145212</v>
      </c>
      <c r="K18">
        <f t="shared" si="0"/>
        <v>0.77746299212916281</v>
      </c>
      <c r="L18">
        <f>K18*G18*$L$19/($K$19*$G$19)</f>
        <v>0.2230834461966813</v>
      </c>
      <c r="M18">
        <f t="shared" si="11"/>
        <v>0.95911026546250788</v>
      </c>
      <c r="N18">
        <f t="shared" si="6"/>
        <v>1.4386653981937618</v>
      </c>
      <c r="O18">
        <f t="shared" si="5"/>
        <v>1.7893848236240817</v>
      </c>
      <c r="P18">
        <f t="shared" si="3"/>
        <v>24.972027559329998</v>
      </c>
      <c r="Q18">
        <f t="shared" si="4"/>
        <v>16.648018372886664</v>
      </c>
      <c r="R18">
        <f t="shared" si="10"/>
        <v>0.2585175906172914</v>
      </c>
    </row>
    <row r="19" spans="3:20" ht="15" thickBot="1">
      <c r="C19" s="3">
        <v>5000</v>
      </c>
      <c r="D19" s="2">
        <v>-17.5</v>
      </c>
      <c r="E19" s="2">
        <v>54.05</v>
      </c>
      <c r="F19" s="2">
        <v>320.5</v>
      </c>
      <c r="G19">
        <f t="shared" si="2"/>
        <v>641</v>
      </c>
      <c r="H19" s="2">
        <f t="shared" si="7"/>
        <v>4.5935110349496577</v>
      </c>
      <c r="I19">
        <f t="shared" si="8"/>
        <v>-5.4020400000000581</v>
      </c>
      <c r="J19" s="4">
        <f t="shared" si="9"/>
        <v>-0.55085477711553466</v>
      </c>
      <c r="K19">
        <f t="shared" si="0"/>
        <v>0.73666155342227346</v>
      </c>
      <c r="L19" s="11">
        <v>0.21</v>
      </c>
      <c r="M19">
        <f t="shared" si="11"/>
        <v>1.1223819183936228</v>
      </c>
      <c r="N19">
        <f t="shared" si="6"/>
        <v>1.6835728775904342</v>
      </c>
      <c r="O19">
        <f t="shared" si="5"/>
        <v>2.0939961164060126</v>
      </c>
      <c r="P19">
        <f t="shared" si="3"/>
        <v>23.507462686567163</v>
      </c>
      <c r="Q19">
        <f t="shared" si="4"/>
        <v>15.671641791044776</v>
      </c>
      <c r="R19">
        <f t="shared" si="10"/>
        <v>0.24490747939667235</v>
      </c>
    </row>
    <row r="20" spans="3:20" ht="15" thickBot="1">
      <c r="C20" s="3">
        <v>5500</v>
      </c>
      <c r="D20" s="2">
        <v>-20.7</v>
      </c>
      <c r="E20" s="2">
        <v>50.54</v>
      </c>
      <c r="F20" s="2">
        <v>318.5</v>
      </c>
      <c r="G20">
        <f t="shared" si="2"/>
        <v>637</v>
      </c>
      <c r="H20" s="2">
        <f t="shared" si="7"/>
        <v>5.3759836484081864</v>
      </c>
      <c r="I20">
        <f t="shared" si="8"/>
        <v>-5.1120000000000019</v>
      </c>
      <c r="J20" s="4">
        <f t="shared" si="9"/>
        <v>-0.52127892807431719</v>
      </c>
      <c r="K20">
        <f t="shared" si="0"/>
        <v>0.69755421261877504</v>
      </c>
      <c r="L20">
        <f>K20*G20*$L$19/($K$19*$G$19)</f>
        <v>0.19761079205095575</v>
      </c>
      <c r="M20">
        <f t="shared" si="11"/>
        <v>1.2770069512973441</v>
      </c>
      <c r="N20">
        <f t="shared" si="6"/>
        <v>1.9155104269460161</v>
      </c>
      <c r="O20">
        <f t="shared" si="5"/>
        <v>2.3824756554054924</v>
      </c>
      <c r="P20">
        <f t="shared" si="3"/>
        <v>22.120611050480122</v>
      </c>
      <c r="Q20">
        <f t="shared" si="4"/>
        <v>14.747074033653414</v>
      </c>
      <c r="R20">
        <f t="shared" si="10"/>
        <v>0.23193754935558197</v>
      </c>
    </row>
    <row r="21" spans="3:20" ht="15" thickBot="1">
      <c r="C21" s="3">
        <v>6000</v>
      </c>
      <c r="D21" s="2">
        <v>-23.9</v>
      </c>
      <c r="E21" s="2">
        <v>47.23</v>
      </c>
      <c r="F21" s="2">
        <v>316.5</v>
      </c>
      <c r="G21">
        <f t="shared" si="2"/>
        <v>633</v>
      </c>
      <c r="H21" s="2">
        <f t="shared" si="7"/>
        <v>6.1633852232113364</v>
      </c>
      <c r="I21">
        <f t="shared" si="8"/>
        <v>-5.0799999999999974</v>
      </c>
      <c r="J21" s="4">
        <f t="shared" si="9"/>
        <v>-0.51801583619278735</v>
      </c>
      <c r="K21">
        <f t="shared" si="0"/>
        <v>0.66023855538741671</v>
      </c>
      <c r="L21">
        <f>K21*G21*$L$19/($K$19*$G$19)</f>
        <v>0.18586510124278921</v>
      </c>
      <c r="M21">
        <f t="shared" si="11"/>
        <v>1.4233574247168632</v>
      </c>
      <c r="N21">
        <f t="shared" si="6"/>
        <v>2.1350361370752946</v>
      </c>
      <c r="O21">
        <f t="shared" si="5"/>
        <v>2.6555175834269833</v>
      </c>
      <c r="P21">
        <f t="shared" si="3"/>
        <v>20.805794915237602</v>
      </c>
      <c r="Q21">
        <f t="shared" si="4"/>
        <v>13.870529943491734</v>
      </c>
      <c r="R21">
        <f t="shared" si="10"/>
        <v>0.21952571012927846</v>
      </c>
    </row>
    <row r="22" spans="3:20" ht="15" thickBot="1">
      <c r="C22" s="3">
        <v>6500</v>
      </c>
      <c r="D22" s="2">
        <v>-27.2</v>
      </c>
      <c r="E22" s="2">
        <v>44.06</v>
      </c>
      <c r="F22" s="2">
        <v>314.39999999999998</v>
      </c>
      <c r="G22">
        <f t="shared" si="2"/>
        <v>628.79999999999995</v>
      </c>
      <c r="H22" s="2">
        <f t="shared" si="7"/>
        <v>6.9559038473990045</v>
      </c>
      <c r="I22">
        <f t="shared" si="8"/>
        <v>-5.29956000000006</v>
      </c>
      <c r="J22" s="4">
        <f t="shared" si="9"/>
        <v>-0.54040472536493711</v>
      </c>
      <c r="K22">
        <f t="shared" si="0"/>
        <v>0.62418850889638633</v>
      </c>
      <c r="L22">
        <f t="shared" ref="L22:L34" si="12">K22*G22*$L$19/($K$19*$G$19)</f>
        <v>0.1745506871932504</v>
      </c>
      <c r="M22">
        <f t="shared" si="11"/>
        <v>1.5616920951822699</v>
      </c>
      <c r="N22">
        <f t="shared" si="6"/>
        <v>2.3425381427734049</v>
      </c>
      <c r="O22">
        <f t="shared" si="5"/>
        <v>2.9136046551908019</v>
      </c>
      <c r="P22">
        <f t="shared" si="3"/>
        <v>19.539256029095192</v>
      </c>
      <c r="Q22">
        <f t="shared" si="4"/>
        <v>13.026170686063461</v>
      </c>
      <c r="R22">
        <f t="shared" si="10"/>
        <v>0.20750200569811028</v>
      </c>
    </row>
    <row r="23" spans="3:20" ht="15" thickBot="1">
      <c r="C23" s="3">
        <v>7000</v>
      </c>
      <c r="D23" s="2">
        <v>-30.4</v>
      </c>
      <c r="E23" s="2">
        <v>41.09</v>
      </c>
      <c r="F23" s="2">
        <v>312.3</v>
      </c>
      <c r="G23">
        <f t="shared" si="2"/>
        <v>624.6</v>
      </c>
      <c r="H23" s="2">
        <f t="shared" si="7"/>
        <v>7.7537337500637564</v>
      </c>
      <c r="I23">
        <f t="shared" si="8"/>
        <v>-5.2642799999999141</v>
      </c>
      <c r="J23" s="4">
        <f t="shared" si="9"/>
        <v>-0.53680716656553606</v>
      </c>
      <c r="K23">
        <f t="shared" si="0"/>
        <v>0.58978674235763995</v>
      </c>
      <c r="L23">
        <f t="shared" si="12"/>
        <v>0.16382879863545641</v>
      </c>
      <c r="M23">
        <f t="shared" si="11"/>
        <v>1.6923996096512794</v>
      </c>
      <c r="N23">
        <f t="shared" si="6"/>
        <v>2.5385994144769191</v>
      </c>
      <c r="O23">
        <f t="shared" si="5"/>
        <v>3.1574619583046255</v>
      </c>
      <c r="P23">
        <f t="shared" si="3"/>
        <v>18.339044623371986</v>
      </c>
      <c r="Q23">
        <f t="shared" si="4"/>
        <v>12.226029748914657</v>
      </c>
      <c r="R23">
        <f t="shared" si="10"/>
        <v>0.19606127170351417</v>
      </c>
    </row>
    <row r="24" spans="3:20" ht="15" thickBot="1">
      <c r="C24" s="3">
        <v>7500</v>
      </c>
      <c r="D24" s="2">
        <v>-33.700000000000003</v>
      </c>
      <c r="E24" s="2">
        <v>38.33</v>
      </c>
      <c r="F24" s="2">
        <v>310.2</v>
      </c>
      <c r="G24">
        <f t="shared" si="2"/>
        <v>620.4</v>
      </c>
      <c r="H24" s="2">
        <f t="shared" si="7"/>
        <v>8.5569466014693791</v>
      </c>
      <c r="I24">
        <f t="shared" si="8"/>
        <v>-5.2290000000000552</v>
      </c>
      <c r="J24" s="4">
        <f t="shared" si="9"/>
        <v>-0.53320960776616433</v>
      </c>
      <c r="K24">
        <f t="shared" si="0"/>
        <v>0.55775321348357121</v>
      </c>
      <c r="L24">
        <f t="shared" si="12"/>
        <v>0.15388884177713608</v>
      </c>
      <c r="M24">
        <f t="shared" si="11"/>
        <v>1.8160051050546016</v>
      </c>
      <c r="N24">
        <f t="shared" si="6"/>
        <v>2.7240076575819021</v>
      </c>
      <c r="O24">
        <f t="shared" si="5"/>
        <v>3.3880692258481369</v>
      </c>
      <c r="P24">
        <f t="shared" si="3"/>
        <v>17.226362885500304</v>
      </c>
      <c r="Q24">
        <f t="shared" si="4"/>
        <v>11.48424192366687</v>
      </c>
      <c r="R24">
        <f t="shared" si="10"/>
        <v>0.18540824310498305</v>
      </c>
    </row>
    <row r="25" spans="3:20" ht="15" thickBot="1">
      <c r="C25" s="3">
        <v>8000</v>
      </c>
      <c r="D25" s="2">
        <v>-36.9</v>
      </c>
      <c r="E25" s="2">
        <v>35.65</v>
      </c>
      <c r="F25" s="2">
        <v>308.10000000000002</v>
      </c>
      <c r="G25">
        <f t="shared" si="2"/>
        <v>616.20000000000005</v>
      </c>
      <c r="H25" s="2">
        <f t="shared" si="7"/>
        <v>9.365615532409052</v>
      </c>
      <c r="I25">
        <f t="shared" si="8"/>
        <v>-5.1937199999999182</v>
      </c>
      <c r="J25" s="4">
        <f t="shared" si="9"/>
        <v>-0.52961204896676428</v>
      </c>
      <c r="K25">
        <f t="shared" si="0"/>
        <v>0.52578212856958517</v>
      </c>
      <c r="L25">
        <f t="shared" si="12"/>
        <v>0.14408566490744737</v>
      </c>
      <c r="M25">
        <f t="shared" si="11"/>
        <v>1.9325227056590391</v>
      </c>
      <c r="N25">
        <f t="shared" si="6"/>
        <v>2.8987840584885585</v>
      </c>
      <c r="O25">
        <f t="shared" si="5"/>
        <v>3.6054528090653708</v>
      </c>
      <c r="P25">
        <f t="shared" si="3"/>
        <v>16.128992340385899</v>
      </c>
      <c r="Q25">
        <f t="shared" si="4"/>
        <v>10.752661560257266</v>
      </c>
      <c r="R25">
        <f t="shared" si="10"/>
        <v>0.17477640090665636</v>
      </c>
    </row>
    <row r="26" spans="3:20" ht="15" thickBot="1">
      <c r="C26" s="3">
        <v>8500</v>
      </c>
      <c r="D26" s="2">
        <v>-40.200000000000003</v>
      </c>
      <c r="E26" s="2">
        <v>33.159999999999997</v>
      </c>
      <c r="F26" s="2">
        <v>305.89999999999998</v>
      </c>
      <c r="G26">
        <f t="shared" si="2"/>
        <v>611.79999999999995</v>
      </c>
      <c r="H26" s="2">
        <f t="shared" si="7"/>
        <v>10.179947779966055</v>
      </c>
      <c r="I26">
        <f t="shared" si="8"/>
        <v>-5.4032000000001155</v>
      </c>
      <c r="J26" s="4">
        <f t="shared" si="9"/>
        <v>-0.55097306419624603</v>
      </c>
      <c r="K26">
        <f t="shared" si="0"/>
        <v>0.49598656229410243</v>
      </c>
      <c r="L26">
        <f t="shared" si="12"/>
        <v>0.13494992382002688</v>
      </c>
      <c r="M26">
        <f t="shared" si="11"/>
        <v>2.042416780431048</v>
      </c>
      <c r="N26">
        <f t="shared" si="6"/>
        <v>3.063625170646572</v>
      </c>
      <c r="O26">
        <f t="shared" si="5"/>
        <v>3.8104790679683731</v>
      </c>
      <c r="P26">
        <f t="shared" si="3"/>
        <v>15.106334755973156</v>
      </c>
      <c r="Q26">
        <f t="shared" si="4"/>
        <v>10.070889837315438</v>
      </c>
      <c r="R26">
        <f t="shared" si="10"/>
        <v>0.16484111215801356</v>
      </c>
    </row>
    <row r="27" spans="3:20" ht="15" thickBot="1">
      <c r="C27" s="3">
        <v>9000</v>
      </c>
      <c r="D27" s="2">
        <v>-43.4</v>
      </c>
      <c r="E27" s="2">
        <v>30.82</v>
      </c>
      <c r="F27" s="2">
        <v>303.8</v>
      </c>
      <c r="G27">
        <f t="shared" si="2"/>
        <v>607.6</v>
      </c>
      <c r="H27" s="2">
        <f t="shared" si="7"/>
        <v>11.000023226907173</v>
      </c>
      <c r="I27">
        <f t="shared" si="8"/>
        <v>-5.1214799999999201</v>
      </c>
      <c r="J27" s="4">
        <f t="shared" si="9"/>
        <v>-0.52224561904421185</v>
      </c>
      <c r="K27">
        <f t="shared" si="0"/>
        <v>0.46740700579709055</v>
      </c>
      <c r="L27">
        <f t="shared" si="12"/>
        <v>0.12630084131980562</v>
      </c>
      <c r="M27">
        <f t="shared" si="11"/>
        <v>2.145992999325427</v>
      </c>
      <c r="N27">
        <f t="shared" si="6"/>
        <v>3.2189894989881402</v>
      </c>
      <c r="O27">
        <f t="shared" si="5"/>
        <v>4.0037182823235575</v>
      </c>
      <c r="P27">
        <f t="shared" si="3"/>
        <v>14.138153879082717</v>
      </c>
      <c r="Q27">
        <f t="shared" si="4"/>
        <v>9.4254359193884785</v>
      </c>
      <c r="R27">
        <f t="shared" si="10"/>
        <v>0.15536432834156821</v>
      </c>
    </row>
    <row r="28" spans="3:20" ht="15" thickBot="1">
      <c r="C28" s="3">
        <v>9500</v>
      </c>
      <c r="D28" s="2">
        <v>-46.7</v>
      </c>
      <c r="E28" s="2">
        <v>28.61</v>
      </c>
      <c r="F28" s="2">
        <v>301.7</v>
      </c>
      <c r="G28">
        <f t="shared" si="2"/>
        <v>603.4</v>
      </c>
      <c r="H28" s="2">
        <f t="shared" si="7"/>
        <v>11.82578705845135</v>
      </c>
      <c r="I28">
        <f t="shared" si="8"/>
        <v>-5.0862000000000585</v>
      </c>
      <c r="J28" s="4">
        <f t="shared" si="9"/>
        <v>-0.51864806024483989</v>
      </c>
      <c r="K28">
        <f t="shared" si="0"/>
        <v>0.44021378295352526</v>
      </c>
      <c r="L28">
        <f t="shared" si="12"/>
        <v>0.11813054364282527</v>
      </c>
      <c r="M28">
        <f t="shared" si="11"/>
        <v>2.2435409296663229</v>
      </c>
      <c r="N28">
        <f t="shared" si="6"/>
        <v>3.3653113944994844</v>
      </c>
      <c r="O28">
        <f t="shared" si="5"/>
        <v>4.1857106896759753</v>
      </c>
      <c r="P28">
        <f t="shared" si="3"/>
        <v>13.223568318226709</v>
      </c>
      <c r="Q28">
        <f t="shared" si="4"/>
        <v>8.8157122121511389</v>
      </c>
      <c r="R28">
        <f t="shared" si="10"/>
        <v>0.14632189551134411</v>
      </c>
    </row>
    <row r="29" spans="3:20" ht="15" thickBot="1">
      <c r="C29" s="3">
        <v>10000</v>
      </c>
      <c r="D29" s="2">
        <v>-49.9</v>
      </c>
      <c r="E29" s="2">
        <v>26.48</v>
      </c>
      <c r="F29" s="2">
        <v>299.5</v>
      </c>
      <c r="G29">
        <f t="shared" si="2"/>
        <v>599</v>
      </c>
      <c r="H29" s="2">
        <f t="shared" si="7"/>
        <v>12.657457051797991</v>
      </c>
      <c r="I29">
        <f t="shared" si="8"/>
        <v>-5.2905599999999717</v>
      </c>
      <c r="J29" s="4">
        <f t="shared" si="9"/>
        <v>-0.53948698077324797</v>
      </c>
      <c r="K29">
        <f t="shared" si="0"/>
        <v>0.41328021662875408</v>
      </c>
      <c r="L29">
        <f t="shared" si="12"/>
        <v>0.1100942658040486</v>
      </c>
      <c r="M29">
        <f t="shared" si="11"/>
        <v>2.3351030269750792</v>
      </c>
      <c r="N29">
        <f t="shared" si="6"/>
        <v>3.5026545404626188</v>
      </c>
      <c r="O29">
        <f t="shared" si="5"/>
        <v>4.3565354980878341</v>
      </c>
      <c r="P29">
        <f t="shared" si="3"/>
        <v>12.323984978065141</v>
      </c>
      <c r="Q29">
        <f t="shared" si="4"/>
        <v>8.2159899853767602</v>
      </c>
      <c r="R29">
        <f t="shared" si="10"/>
        <v>0.13734314596313446</v>
      </c>
    </row>
    <row r="30" spans="3:20" ht="15" thickBot="1">
      <c r="C30" s="3">
        <v>11000</v>
      </c>
      <c r="D30" s="2">
        <v>-56.4</v>
      </c>
      <c r="E30" s="2">
        <v>22.68</v>
      </c>
      <c r="F30" s="2">
        <v>295.2</v>
      </c>
      <c r="G30">
        <f t="shared" si="2"/>
        <v>590.4</v>
      </c>
      <c r="H30" s="2">
        <f t="shared" si="7"/>
        <v>14.338977145963115</v>
      </c>
      <c r="I30">
        <f t="shared" si="8"/>
        <v>-5.114420000000016</v>
      </c>
      <c r="J30" s="4">
        <f t="shared" si="9"/>
        <v>-0.5215256993978592</v>
      </c>
      <c r="K30">
        <f t="shared" si="0"/>
        <v>0.36458772892227198</v>
      </c>
      <c r="L30">
        <f t="shared" si="12"/>
        <v>9.5728588831925893E-2</v>
      </c>
      <c r="M30">
        <f t="shared" si="11"/>
        <v>2.4960725726820336</v>
      </c>
      <c r="N30">
        <f t="shared" si="6"/>
        <v>3.7441088590230507</v>
      </c>
      <c r="O30">
        <f t="shared" si="5"/>
        <v>4.6568518147052869</v>
      </c>
      <c r="P30">
        <f t="shared" si="3"/>
        <v>10.715886809543942</v>
      </c>
      <c r="Q30">
        <f t="shared" si="4"/>
        <v>7.1439245396959619</v>
      </c>
      <c r="R30">
        <f t="shared" si="10"/>
        <v>0.24145431856043187</v>
      </c>
    </row>
    <row r="31" spans="3:20" ht="15" thickBot="1">
      <c r="C31" s="3">
        <v>12000</v>
      </c>
      <c r="D31" s="2">
        <v>-56.4</v>
      </c>
      <c r="E31" s="2">
        <v>19.37</v>
      </c>
      <c r="F31" s="2">
        <v>295.10000000000002</v>
      </c>
      <c r="G31">
        <f t="shared" si="2"/>
        <v>590.20000000000005</v>
      </c>
      <c r="H31" s="2">
        <f t="shared" si="7"/>
        <v>16.033031016876212</v>
      </c>
      <c r="I31">
        <f t="shared" si="8"/>
        <v>-0.11805999999995963</v>
      </c>
      <c r="J31" s="4">
        <f t="shared" si="9"/>
        <v>-1.2038769610413304E-2</v>
      </c>
      <c r="K31">
        <f t="shared" si="0"/>
        <v>0.31137849687938307</v>
      </c>
      <c r="L31">
        <f t="shared" si="12"/>
        <v>8.1729921864248434E-2</v>
      </c>
      <c r="M31">
        <f t="shared" si="11"/>
        <v>2.6345274631855888</v>
      </c>
      <c r="N31">
        <f t="shared" si="6"/>
        <v>3.9517911947783833</v>
      </c>
      <c r="O31">
        <f t="shared" si="5"/>
        <v>4.9151631775850539</v>
      </c>
      <c r="P31">
        <f t="shared" si="3"/>
        <v>9.1488718504755706</v>
      </c>
      <c r="Q31">
        <f t="shared" si="4"/>
        <v>6.0992479003170468</v>
      </c>
      <c r="R31">
        <f t="shared" si="10"/>
        <v>0.20768233575533257</v>
      </c>
    </row>
    <row r="32" spans="3:20" ht="15" thickBot="1">
      <c r="C32" s="3">
        <v>13000</v>
      </c>
      <c r="D32" s="2">
        <v>-56.4</v>
      </c>
      <c r="E32" s="2">
        <v>16.62</v>
      </c>
      <c r="F32" s="2">
        <v>295.10000000000002</v>
      </c>
      <c r="G32">
        <f t="shared" si="2"/>
        <v>590.20000000000005</v>
      </c>
      <c r="H32" s="2">
        <f t="shared" si="7"/>
        <v>17.727371918265572</v>
      </c>
      <c r="I32">
        <f t="shared" si="8"/>
        <v>0</v>
      </c>
      <c r="J32" s="4">
        <f t="shared" si="9"/>
        <v>0</v>
      </c>
      <c r="K32">
        <f t="shared" si="0"/>
        <v>0.26717143098272311</v>
      </c>
      <c r="L32">
        <f t="shared" si="12"/>
        <v>7.012655143953582E-2</v>
      </c>
      <c r="M32">
        <f t="shared" si="11"/>
        <v>2.7533457475629795</v>
      </c>
      <c r="N32">
        <f t="shared" si="6"/>
        <v>4.130018621344469</v>
      </c>
      <c r="O32">
        <f t="shared" si="5"/>
        <v>5.1368390812742151</v>
      </c>
      <c r="P32">
        <f t="shared" si="3"/>
        <v>7.8499871014405773</v>
      </c>
      <c r="Q32">
        <f t="shared" si="4"/>
        <v>5.2333247342937179</v>
      </c>
      <c r="R32">
        <f t="shared" si="10"/>
        <v>0.1782274265660857</v>
      </c>
    </row>
    <row r="33" spans="3:18" ht="15" thickBot="1">
      <c r="C33" s="3">
        <v>14000</v>
      </c>
      <c r="D33" s="2">
        <v>-56.4</v>
      </c>
      <c r="E33" s="2">
        <v>14.2</v>
      </c>
      <c r="F33" s="2">
        <v>295.10000000000002</v>
      </c>
      <c r="G33">
        <f t="shared" si="2"/>
        <v>590.20000000000005</v>
      </c>
      <c r="H33" s="2">
        <f t="shared" si="7"/>
        <v>19.421712819654932</v>
      </c>
      <c r="I33">
        <f t="shared" si="8"/>
        <v>0</v>
      </c>
      <c r="J33" s="4">
        <f t="shared" si="9"/>
        <v>0</v>
      </c>
      <c r="K33">
        <f t="shared" si="0"/>
        <v>0.22826921299366235</v>
      </c>
      <c r="L33">
        <f t="shared" si="12"/>
        <v>5.9915585465788727E-2</v>
      </c>
      <c r="M33">
        <f t="shared" si="11"/>
        <v>2.8548631746483553</v>
      </c>
      <c r="N33">
        <f t="shared" si="6"/>
        <v>4.2822947619725333</v>
      </c>
      <c r="O33">
        <f t="shared" si="5"/>
        <v>5.3262372661349913</v>
      </c>
      <c r="P33">
        <f t="shared" si="3"/>
        <v>6.7069685222897828</v>
      </c>
      <c r="Q33">
        <f t="shared" si="4"/>
        <v>4.4713123481931882</v>
      </c>
      <c r="R33">
        <f t="shared" si="10"/>
        <v>0.15227614062806438</v>
      </c>
    </row>
    <row r="34" spans="3:18" ht="15" thickBot="1">
      <c r="C34" s="3">
        <v>15000</v>
      </c>
      <c r="D34" s="2">
        <v>-56.4</v>
      </c>
      <c r="E34" s="2">
        <v>12</v>
      </c>
      <c r="F34" s="2">
        <v>295.10000000000002</v>
      </c>
      <c r="G34">
        <f t="shared" si="2"/>
        <v>590.20000000000005</v>
      </c>
      <c r="H34" s="2">
        <f t="shared" si="7"/>
        <v>21.116053721044292</v>
      </c>
      <c r="I34">
        <f t="shared" si="8"/>
        <v>0</v>
      </c>
      <c r="J34" s="4">
        <f t="shared" si="9"/>
        <v>0</v>
      </c>
      <c r="K34">
        <f t="shared" si="0"/>
        <v>0.19290356027633437</v>
      </c>
      <c r="L34">
        <f t="shared" si="12"/>
        <v>5.063288912601864E-2</v>
      </c>
      <c r="M34">
        <f t="shared" si="11"/>
        <v>2.940652549650081</v>
      </c>
      <c r="N34">
        <f t="shared" si="6"/>
        <v>4.4109788244751211</v>
      </c>
      <c r="O34">
        <f t="shared" si="5"/>
        <v>5.4862920702426878</v>
      </c>
      <c r="P34">
        <f t="shared" si="3"/>
        <v>5.6678607230617883</v>
      </c>
      <c r="Q34">
        <f t="shared" si="4"/>
        <v>3.7785738153745254</v>
      </c>
      <c r="R34">
        <f>ABS(N33-N34)</f>
        <v>0.12868406250258779</v>
      </c>
    </row>
    <row r="36" spans="3:18" ht="15" thickBot="1"/>
    <row r="37" spans="3:18" ht="15" thickBot="1">
      <c r="C37" s="5"/>
      <c r="D37" s="6"/>
      <c r="E37" s="6"/>
      <c r="F37" s="6"/>
      <c r="H37" s="6"/>
      <c r="J37" s="7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AA038-6764-4EA4-BCB5-7E32323C7E9A}">
  <dimension ref="A1:BA130"/>
  <sheetViews>
    <sheetView zoomScale="95" zoomScaleNormal="70" workbookViewId="0">
      <selection activeCell="R9" sqref="R9"/>
    </sheetView>
  </sheetViews>
  <sheetFormatPr defaultRowHeight="14.45"/>
  <cols>
    <col min="2" max="2" width="7.5703125" customWidth="1"/>
    <col min="3" max="3" width="9.5703125" customWidth="1"/>
    <col min="4" max="7" width="5.28515625" customWidth="1"/>
    <col min="8" max="8" width="2.28515625" customWidth="1"/>
    <col min="9" max="11" width="5" customWidth="1"/>
    <col min="12" max="12" width="3.28515625" customWidth="1"/>
    <col min="13" max="13" width="5.42578125" customWidth="1"/>
    <col min="14" max="14" width="2.28515625" customWidth="1"/>
    <col min="15" max="15" width="4.85546875" customWidth="1"/>
    <col min="16" max="16" width="2.28515625" customWidth="1"/>
    <col min="17" max="18" width="4.42578125" customWidth="1"/>
    <col min="19" max="19" width="2.28515625" customWidth="1"/>
    <col min="20" max="21" width="3.42578125" customWidth="1"/>
    <col min="22" max="22" width="2.5703125" customWidth="1"/>
    <col min="23" max="24" width="4.28515625" customWidth="1"/>
    <col min="25" max="25" width="3.28515625" customWidth="1"/>
    <col min="26" max="27" width="4.42578125" customWidth="1"/>
    <col min="28" max="28" width="3" customWidth="1"/>
    <col min="29" max="30" width="4.140625" customWidth="1"/>
    <col min="31" max="31" width="2.28515625" customWidth="1"/>
    <col min="32" max="33" width="3.28515625" customWidth="1"/>
    <col min="34" max="34" width="3.42578125" customWidth="1"/>
    <col min="35" max="35" width="4.28515625" customWidth="1"/>
    <col min="36" max="36" width="3.7109375" customWidth="1"/>
    <col min="37" max="37" width="5.7109375" customWidth="1"/>
    <col min="38" max="38" width="4.7109375" customWidth="1"/>
    <col min="39" max="41" width="4.28515625" customWidth="1"/>
    <col min="42" max="42" width="3.7109375" customWidth="1"/>
    <col min="43" max="43" width="4.42578125" customWidth="1"/>
    <col min="44" max="44" width="3.7109375" customWidth="1"/>
    <col min="45" max="45" width="5.140625" customWidth="1"/>
    <col min="47" max="47" width="27.5703125" bestFit="1" customWidth="1"/>
    <col min="48" max="48" width="13" bestFit="1" customWidth="1"/>
    <col min="51" max="51" width="11.85546875" bestFit="1" customWidth="1"/>
  </cols>
  <sheetData>
    <row r="1" spans="1:53">
      <c r="A1" s="12" t="s">
        <v>17</v>
      </c>
      <c r="AU1" t="s">
        <v>18</v>
      </c>
      <c r="AV1" t="s">
        <v>19</v>
      </c>
      <c r="AW1">
        <f>C28</f>
        <v>5.89</v>
      </c>
    </row>
    <row r="2" spans="1:53">
      <c r="AU2" t="s">
        <v>20</v>
      </c>
      <c r="AV2" t="s">
        <v>21</v>
      </c>
      <c r="AW2">
        <v>4000</v>
      </c>
      <c r="AY2" t="s">
        <v>22</v>
      </c>
      <c r="AZ2" t="s">
        <v>23</v>
      </c>
      <c r="BA2">
        <f>(AW1*AW2*AW3)/1000</f>
        <v>23.56</v>
      </c>
    </row>
    <row r="3" spans="1:53">
      <c r="AU3" t="s">
        <v>24</v>
      </c>
      <c r="AV3" t="s">
        <v>25</v>
      </c>
      <c r="AW3">
        <v>1</v>
      </c>
      <c r="AY3" t="s">
        <v>26</v>
      </c>
      <c r="AZ3" t="s">
        <v>27</v>
      </c>
      <c r="BA3">
        <f>(AW1*AW6)/(20*PI()*AW7)</f>
        <v>1.8279740988819637</v>
      </c>
    </row>
    <row r="4" spans="1:53">
      <c r="AU4" t="s">
        <v>28</v>
      </c>
      <c r="AV4" t="s">
        <v>29</v>
      </c>
      <c r="AW4">
        <v>20</v>
      </c>
      <c r="AY4" t="s">
        <v>30</v>
      </c>
      <c r="AZ4" t="s">
        <v>31</v>
      </c>
      <c r="BA4">
        <f>(BA3*AW2)/9550</f>
        <v>0.76564360162595335</v>
      </c>
    </row>
    <row r="5" spans="1:53">
      <c r="B5" s="31" t="s">
        <v>32</v>
      </c>
      <c r="C5" s="31"/>
      <c r="D5" s="31"/>
      <c r="E5" s="31"/>
      <c r="F5" s="31"/>
      <c r="G5" s="31"/>
      <c r="H5" s="13"/>
      <c r="I5" s="31" t="s">
        <v>33</v>
      </c>
      <c r="J5" s="31"/>
      <c r="K5" s="31"/>
      <c r="M5" s="18" t="s">
        <v>34</v>
      </c>
      <c r="O5" s="18" t="s">
        <v>35</v>
      </c>
      <c r="Q5" s="31" t="s">
        <v>36</v>
      </c>
      <c r="R5" s="31"/>
      <c r="T5" s="31" t="s">
        <v>37</v>
      </c>
      <c r="U5" s="31"/>
      <c r="W5" s="31" t="s">
        <v>38</v>
      </c>
      <c r="X5" s="31"/>
      <c r="Z5" s="31" t="s">
        <v>39</v>
      </c>
      <c r="AA5" s="31"/>
      <c r="AC5" s="31" t="s">
        <v>40</v>
      </c>
      <c r="AD5" s="31"/>
      <c r="AF5" s="31" t="s">
        <v>41</v>
      </c>
      <c r="AG5" s="31"/>
      <c r="AI5" s="18" t="s">
        <v>42</v>
      </c>
      <c r="AK5" s="18" t="s">
        <v>43</v>
      </c>
      <c r="AL5" s="13"/>
      <c r="AM5" s="31" t="s">
        <v>44</v>
      </c>
      <c r="AN5" s="31"/>
      <c r="AO5" s="31"/>
      <c r="AQ5" s="18" t="s">
        <v>45</v>
      </c>
      <c r="AS5" s="18" t="s">
        <v>46</v>
      </c>
      <c r="AU5" t="s">
        <v>47</v>
      </c>
      <c r="AV5" t="s">
        <v>48</v>
      </c>
      <c r="AW5">
        <v>0.5</v>
      </c>
    </row>
    <row r="6" spans="1:53">
      <c r="B6" s="14" t="str">
        <f>MID($A$1,B7,1)</f>
        <v>S</v>
      </c>
      <c r="C6" s="14" t="str">
        <f>MID($A$1,C7,1)</f>
        <v>N</v>
      </c>
      <c r="D6" s="14" t="str">
        <f t="shared" ref="D6:AS6" si="0">MID($A$1,D7,1)</f>
        <v>P</v>
      </c>
      <c r="E6" s="14" t="str">
        <f t="shared" si="0"/>
        <v>1</v>
      </c>
      <c r="F6" s="14" t="str">
        <f t="shared" si="0"/>
        <v>N</v>
      </c>
      <c r="G6" s="14" t="str">
        <f t="shared" si="0"/>
        <v>N</v>
      </c>
      <c r="H6" s="13" t="str">
        <f t="shared" si="0"/>
        <v>/</v>
      </c>
      <c r="I6" s="14" t="str">
        <f t="shared" si="0"/>
        <v>6</v>
      </c>
      <c r="J6" s="14" t="str">
        <f t="shared" si="0"/>
        <v>,</v>
      </c>
      <c r="K6" s="14" t="str">
        <f t="shared" si="0"/>
        <v>0</v>
      </c>
      <c r="M6" s="14" t="str">
        <f t="shared" si="0"/>
        <v>R</v>
      </c>
      <c r="O6" s="14" t="str">
        <f t="shared" si="0"/>
        <v>N</v>
      </c>
      <c r="Q6" s="14" t="str">
        <f t="shared" si="0"/>
        <v>0</v>
      </c>
      <c r="R6" s="14" t="str">
        <f t="shared" si="0"/>
        <v>1</v>
      </c>
      <c r="T6" s="14" t="str">
        <f t="shared" si="0"/>
        <v>B</v>
      </c>
      <c r="U6" s="14" t="str">
        <f t="shared" si="0"/>
        <v>A</v>
      </c>
      <c r="W6" s="14" t="str">
        <f t="shared" si="0"/>
        <v>P</v>
      </c>
      <c r="X6" s="14" t="str">
        <f t="shared" si="0"/>
        <v>1</v>
      </c>
      <c r="Z6" s="14" t="str">
        <f t="shared" si="0"/>
        <v>F</v>
      </c>
      <c r="AA6" s="14" t="str">
        <f t="shared" si="0"/>
        <v>3</v>
      </c>
      <c r="AC6" s="14" t="str">
        <f t="shared" si="0"/>
        <v>F</v>
      </c>
      <c r="AD6" s="14" t="str">
        <f t="shared" si="0"/>
        <v>3</v>
      </c>
      <c r="AF6" s="14" t="str">
        <f t="shared" si="0"/>
        <v>N</v>
      </c>
      <c r="AG6" s="14" t="str">
        <f t="shared" si="0"/>
        <v>N</v>
      </c>
      <c r="AI6" s="14" t="str">
        <f t="shared" si="0"/>
        <v>N</v>
      </c>
      <c r="AK6" s="14" t="str">
        <f t="shared" si="0"/>
        <v>N</v>
      </c>
      <c r="AL6" s="13" t="str">
        <f t="shared" si="0"/>
        <v>/</v>
      </c>
      <c r="AM6" s="14" t="str">
        <f t="shared" si="0"/>
        <v>N</v>
      </c>
      <c r="AN6" s="14" t="str">
        <f t="shared" si="0"/>
        <v>N</v>
      </c>
      <c r="AO6" s="14" t="str">
        <f t="shared" si="0"/>
        <v>N</v>
      </c>
      <c r="AQ6" s="14" t="str">
        <f t="shared" si="0"/>
        <v>N</v>
      </c>
      <c r="AS6" s="14" t="str">
        <f t="shared" si="0"/>
        <v>N</v>
      </c>
      <c r="AV6" s="29" t="s">
        <v>49</v>
      </c>
      <c r="AW6">
        <f>AW4-AW5</f>
        <v>19.5</v>
      </c>
    </row>
    <row r="7" spans="1:53" s="15" customFormat="1">
      <c r="B7" s="16">
        <v>1</v>
      </c>
      <c r="C7" s="16">
        <v>2</v>
      </c>
      <c r="D7" s="16">
        <v>3</v>
      </c>
      <c r="E7" s="16">
        <v>4</v>
      </c>
      <c r="F7" s="16">
        <v>5</v>
      </c>
      <c r="G7" s="16">
        <v>6</v>
      </c>
      <c r="H7" s="16">
        <v>7</v>
      </c>
      <c r="I7" s="16">
        <v>8</v>
      </c>
      <c r="J7" s="16">
        <v>9</v>
      </c>
      <c r="K7" s="16">
        <v>10</v>
      </c>
      <c r="M7" s="16">
        <v>11</v>
      </c>
      <c r="O7" s="16">
        <v>12</v>
      </c>
      <c r="Q7" s="16">
        <v>13</v>
      </c>
      <c r="R7" s="16">
        <v>14</v>
      </c>
      <c r="T7" s="16">
        <v>15</v>
      </c>
      <c r="U7" s="16">
        <v>16</v>
      </c>
      <c r="W7" s="16">
        <v>17</v>
      </c>
      <c r="X7" s="16">
        <v>18</v>
      </c>
      <c r="Z7" s="16">
        <v>19</v>
      </c>
      <c r="AA7" s="16">
        <v>20</v>
      </c>
      <c r="AC7" s="16">
        <v>21</v>
      </c>
      <c r="AD7" s="16">
        <v>22</v>
      </c>
      <c r="AF7" s="16">
        <v>23</v>
      </c>
      <c r="AG7" s="16">
        <v>24</v>
      </c>
      <c r="AI7" s="16">
        <v>25</v>
      </c>
      <c r="AK7" s="16">
        <v>26</v>
      </c>
      <c r="AL7" s="16">
        <v>27</v>
      </c>
      <c r="AM7" s="16">
        <v>28</v>
      </c>
      <c r="AN7" s="16">
        <v>29</v>
      </c>
      <c r="AO7" s="16">
        <v>30</v>
      </c>
      <c r="AQ7" s="16">
        <v>31</v>
      </c>
      <c r="AR7"/>
      <c r="AS7" s="16">
        <v>32</v>
      </c>
      <c r="AU7" t="s">
        <v>50</v>
      </c>
      <c r="AV7" t="s">
        <v>51</v>
      </c>
      <c r="AW7">
        <v>1</v>
      </c>
    </row>
    <row r="8" spans="1:53">
      <c r="AU8" s="28" t="s">
        <v>52</v>
      </c>
      <c r="AV8" s="28" t="s">
        <v>53</v>
      </c>
      <c r="AW8" s="28">
        <f>AW3*AW7</f>
        <v>1</v>
      </c>
    </row>
    <row r="9" spans="1:53" ht="15" thickBot="1"/>
    <row r="10" spans="1:53" s="17" customFormat="1" ht="15" thickBot="1">
      <c r="B10" s="20" t="s">
        <v>54</v>
      </c>
      <c r="C10" s="22" t="s">
        <v>55</v>
      </c>
      <c r="D10" s="22"/>
      <c r="E10" s="22"/>
      <c r="F10" s="22"/>
    </row>
    <row r="11" spans="1:53">
      <c r="B11" s="21" t="s">
        <v>56</v>
      </c>
      <c r="C11" s="21" t="s">
        <v>57</v>
      </c>
      <c r="D11" s="21"/>
      <c r="E11" s="21"/>
      <c r="F11" s="21"/>
    </row>
    <row r="12" spans="1:53">
      <c r="B12" s="21" t="s">
        <v>58</v>
      </c>
      <c r="C12" s="21" t="s">
        <v>59</v>
      </c>
      <c r="D12" s="21"/>
      <c r="E12" s="21"/>
      <c r="F12" s="21"/>
    </row>
    <row r="13" spans="1:53">
      <c r="B13" s="25" t="s">
        <v>60</v>
      </c>
      <c r="C13" s="21" t="s">
        <v>61</v>
      </c>
      <c r="D13" s="21"/>
      <c r="E13" s="21"/>
      <c r="F13" s="21"/>
    </row>
    <row r="14" spans="1:53">
      <c r="B14" s="21" t="s">
        <v>62</v>
      </c>
      <c r="C14" s="21" t="s">
        <v>63</v>
      </c>
      <c r="D14" s="21"/>
      <c r="E14" s="21"/>
      <c r="F14" s="21"/>
    </row>
    <row r="15" spans="1:53">
      <c r="B15" s="21" t="s">
        <v>64</v>
      </c>
      <c r="C15" s="21" t="s">
        <v>65</v>
      </c>
      <c r="D15" s="21"/>
      <c r="E15" s="21"/>
      <c r="F15" s="21"/>
    </row>
    <row r="16" spans="1:53">
      <c r="B16" s="21" t="s">
        <v>66</v>
      </c>
      <c r="C16" s="21" t="s">
        <v>67</v>
      </c>
      <c r="D16" s="21"/>
      <c r="E16" s="21"/>
      <c r="F16" s="21"/>
    </row>
    <row r="17" spans="2:6">
      <c r="B17" s="21" t="s">
        <v>68</v>
      </c>
      <c r="C17" s="21" t="s">
        <v>69</v>
      </c>
      <c r="D17" s="21"/>
      <c r="E17" s="21"/>
      <c r="F17" s="21"/>
    </row>
    <row r="18" spans="2:6" ht="15" thickBot="1">
      <c r="B18" s="21"/>
      <c r="C18" s="21"/>
      <c r="D18" s="21"/>
      <c r="E18" s="21"/>
      <c r="F18" s="21"/>
    </row>
    <row r="19" spans="2:6" s="17" customFormat="1" ht="15" thickBot="1">
      <c r="B19" s="20" t="s">
        <v>33</v>
      </c>
      <c r="C19" s="22" t="s">
        <v>70</v>
      </c>
      <c r="D19" s="22"/>
      <c r="E19" s="22"/>
      <c r="F19" s="22"/>
    </row>
    <row r="20" spans="2:6">
      <c r="B20" s="21" t="s">
        <v>71</v>
      </c>
      <c r="C20" s="21" t="s">
        <v>72</v>
      </c>
      <c r="D20" s="21"/>
      <c r="E20" s="21"/>
      <c r="F20" s="21"/>
    </row>
    <row r="21" spans="2:6">
      <c r="B21" s="21" t="s">
        <v>73</v>
      </c>
      <c r="C21" s="21" t="s">
        <v>74</v>
      </c>
      <c r="D21" s="21"/>
      <c r="E21" s="21"/>
      <c r="F21" s="21"/>
    </row>
    <row r="22" spans="2:6">
      <c r="B22" s="21" t="s">
        <v>75</v>
      </c>
      <c r="C22" s="21" t="s">
        <v>76</v>
      </c>
      <c r="D22" s="21"/>
      <c r="E22" s="21"/>
      <c r="F22" s="21"/>
    </row>
    <row r="23" spans="2:6">
      <c r="B23" s="21" t="s">
        <v>77</v>
      </c>
      <c r="C23" s="21" t="s">
        <v>78</v>
      </c>
      <c r="D23" s="21"/>
      <c r="E23" s="21"/>
      <c r="F23" s="21"/>
    </row>
    <row r="24" spans="2:6">
      <c r="B24" s="21" t="s">
        <v>79</v>
      </c>
      <c r="C24" s="21" t="s">
        <v>80</v>
      </c>
      <c r="D24" s="21"/>
      <c r="E24" s="21"/>
      <c r="F24" s="21"/>
    </row>
    <row r="25" spans="2:6">
      <c r="B25" s="21" t="s">
        <v>81</v>
      </c>
      <c r="C25" s="21" t="s">
        <v>82</v>
      </c>
      <c r="D25" s="21" t="s">
        <v>83</v>
      </c>
      <c r="E25" s="21"/>
      <c r="F25" s="21"/>
    </row>
    <row r="26" spans="2:6">
      <c r="B26" s="21" t="s">
        <v>84</v>
      </c>
      <c r="C26" s="21" t="s">
        <v>85</v>
      </c>
      <c r="D26" s="21" t="s">
        <v>83</v>
      </c>
      <c r="E26" s="21"/>
      <c r="F26" s="21"/>
    </row>
    <row r="27" spans="2:6">
      <c r="B27" s="21" t="s">
        <v>86</v>
      </c>
      <c r="C27" s="21" t="s">
        <v>87</v>
      </c>
      <c r="D27" s="21" t="s">
        <v>83</v>
      </c>
      <c r="E27" s="21" t="s">
        <v>88</v>
      </c>
      <c r="F27" s="21" t="s">
        <v>89</v>
      </c>
    </row>
    <row r="28" spans="2:6">
      <c r="B28" s="25" t="s">
        <v>90</v>
      </c>
      <c r="C28" s="21">
        <v>5.89</v>
      </c>
      <c r="D28" s="21" t="s">
        <v>83</v>
      </c>
      <c r="E28" s="21"/>
      <c r="F28" s="21"/>
    </row>
    <row r="29" spans="2:6">
      <c r="B29" s="21" t="s">
        <v>91</v>
      </c>
      <c r="C29" s="21" t="s">
        <v>92</v>
      </c>
      <c r="D29" s="21" t="s">
        <v>83</v>
      </c>
      <c r="E29" s="21" t="s">
        <v>88</v>
      </c>
      <c r="F29" s="21" t="s">
        <v>89</v>
      </c>
    </row>
    <row r="30" spans="2:6" ht="15" thickBot="1">
      <c r="B30" s="21"/>
      <c r="C30" s="21"/>
      <c r="D30" s="21"/>
      <c r="E30" s="21"/>
      <c r="F30" s="21"/>
    </row>
    <row r="31" spans="2:6" s="17" customFormat="1" ht="15" thickBot="1">
      <c r="B31" s="20" t="s">
        <v>34</v>
      </c>
      <c r="C31" s="22" t="s">
        <v>93</v>
      </c>
      <c r="D31" s="22"/>
      <c r="E31" s="22"/>
      <c r="F31" s="22"/>
    </row>
    <row r="32" spans="2:6">
      <c r="B32" s="21" t="s">
        <v>43</v>
      </c>
      <c r="C32" s="21" t="s">
        <v>94</v>
      </c>
      <c r="D32" s="21" t="s">
        <v>95</v>
      </c>
      <c r="E32" s="21"/>
      <c r="F32" s="21"/>
    </row>
    <row r="33" spans="2:6">
      <c r="B33" s="25" t="s">
        <v>96</v>
      </c>
      <c r="C33" s="21" t="s">
        <v>97</v>
      </c>
      <c r="D33" s="21" t="s">
        <v>95</v>
      </c>
      <c r="E33" s="21"/>
      <c r="F33" s="21"/>
    </row>
    <row r="34" spans="2:6" ht="15" thickBot="1">
      <c r="B34" s="21"/>
      <c r="C34" s="21"/>
      <c r="D34" s="21"/>
      <c r="E34" s="21"/>
      <c r="F34" s="21"/>
    </row>
    <row r="35" spans="2:6" s="17" customFormat="1" ht="15" thickBot="1">
      <c r="B35" s="20" t="s">
        <v>35</v>
      </c>
      <c r="C35" s="22" t="s">
        <v>98</v>
      </c>
      <c r="D35" s="22" t="s">
        <v>99</v>
      </c>
      <c r="E35" s="22"/>
      <c r="F35" s="22"/>
    </row>
    <row r="36" spans="2:6">
      <c r="B36" s="25" t="s">
        <v>45</v>
      </c>
      <c r="C36" s="21" t="s">
        <v>100</v>
      </c>
      <c r="D36" s="21" t="s">
        <v>101</v>
      </c>
      <c r="E36" s="21" t="s">
        <v>102</v>
      </c>
      <c r="F36" s="21"/>
    </row>
    <row r="37" spans="2:6">
      <c r="B37" s="21">
        <v>6</v>
      </c>
      <c r="C37" s="21" t="s">
        <v>103</v>
      </c>
      <c r="D37" s="21" t="s">
        <v>99</v>
      </c>
      <c r="E37" s="21" t="s">
        <v>88</v>
      </c>
      <c r="F37" s="21" t="s">
        <v>89</v>
      </c>
    </row>
    <row r="38" spans="2:6" ht="15" thickBot="1">
      <c r="B38" s="21"/>
      <c r="C38" s="21"/>
      <c r="D38" s="21"/>
      <c r="E38" s="21"/>
      <c r="F38" s="21"/>
    </row>
    <row r="39" spans="2:6" s="17" customFormat="1" ht="15" thickBot="1">
      <c r="B39" s="20" t="s">
        <v>36</v>
      </c>
      <c r="C39" s="22" t="s">
        <v>104</v>
      </c>
      <c r="D39" s="22"/>
      <c r="E39" s="22"/>
      <c r="F39" s="22"/>
    </row>
    <row r="40" spans="2:6">
      <c r="B40" s="21" t="s">
        <v>105</v>
      </c>
      <c r="C40" s="21" t="s">
        <v>106</v>
      </c>
      <c r="D40" s="21"/>
      <c r="E40" s="21"/>
      <c r="F40" s="21"/>
    </row>
    <row r="41" spans="2:6">
      <c r="B41" s="21"/>
      <c r="C41" s="21" t="s">
        <v>107</v>
      </c>
      <c r="D41" s="21"/>
      <c r="E41" s="21"/>
      <c r="F41" s="21"/>
    </row>
    <row r="42" spans="2:6">
      <c r="B42" s="26" t="s">
        <v>108</v>
      </c>
      <c r="C42" s="21" t="s">
        <v>109</v>
      </c>
      <c r="D42" s="21"/>
      <c r="E42" s="21"/>
      <c r="F42" s="21"/>
    </row>
    <row r="43" spans="2:6">
      <c r="B43" s="23" t="s">
        <v>110</v>
      </c>
      <c r="C43" s="21" t="s">
        <v>111</v>
      </c>
      <c r="D43" s="21"/>
      <c r="E43" s="21"/>
      <c r="F43" s="21"/>
    </row>
    <row r="44" spans="2:6">
      <c r="B44" s="23" t="s">
        <v>112</v>
      </c>
      <c r="C44" s="21" t="s">
        <v>113</v>
      </c>
      <c r="D44" s="21"/>
      <c r="E44" s="21"/>
      <c r="F44" s="21"/>
    </row>
    <row r="45" spans="2:6">
      <c r="B45" s="23" t="s">
        <v>114</v>
      </c>
      <c r="C45" s="21" t="s">
        <v>115</v>
      </c>
      <c r="D45" s="21"/>
      <c r="E45" s="21"/>
      <c r="F45" s="21"/>
    </row>
    <row r="46" spans="2:6">
      <c r="B46" s="23" t="s">
        <v>116</v>
      </c>
      <c r="C46" s="21" t="s">
        <v>117</v>
      </c>
      <c r="D46" s="21"/>
      <c r="E46" s="21"/>
      <c r="F46" s="21"/>
    </row>
    <row r="47" spans="2:6">
      <c r="B47" s="23" t="s">
        <v>118</v>
      </c>
      <c r="C47" s="21" t="s">
        <v>119</v>
      </c>
      <c r="D47" s="21"/>
      <c r="E47" s="21"/>
      <c r="F47" s="21"/>
    </row>
    <row r="48" spans="2:6">
      <c r="B48" s="23" t="s">
        <v>120</v>
      </c>
      <c r="C48" s="21" t="s">
        <v>121</v>
      </c>
      <c r="D48" s="21"/>
      <c r="E48" s="21"/>
      <c r="F48" s="21"/>
    </row>
    <row r="49" spans="2:6">
      <c r="B49" s="24" t="s">
        <v>122</v>
      </c>
      <c r="C49" t="s">
        <v>123</v>
      </c>
      <c r="D49" s="21"/>
      <c r="E49" s="21"/>
      <c r="F49" s="21"/>
    </row>
    <row r="50" spans="2:6" ht="15" thickBot="1"/>
    <row r="51" spans="2:6" s="17" customFormat="1" ht="15" thickBot="1">
      <c r="B51" s="19" t="s">
        <v>37</v>
      </c>
      <c r="C51" s="17" t="s">
        <v>124</v>
      </c>
    </row>
    <row r="52" spans="2:6">
      <c r="B52" t="s">
        <v>125</v>
      </c>
      <c r="C52" t="s">
        <v>126</v>
      </c>
    </row>
    <row r="53" spans="2:6">
      <c r="B53" s="27" t="s">
        <v>127</v>
      </c>
      <c r="C53" t="s">
        <v>128</v>
      </c>
    </row>
    <row r="54" spans="2:6">
      <c r="B54" t="s">
        <v>129</v>
      </c>
      <c r="C54" t="s">
        <v>130</v>
      </c>
    </row>
    <row r="55" spans="2:6">
      <c r="B55" t="s">
        <v>131</v>
      </c>
      <c r="C55" t="s">
        <v>132</v>
      </c>
    </row>
    <row r="56" spans="2:6">
      <c r="B56" t="s">
        <v>133</v>
      </c>
      <c r="C56" t="s">
        <v>134</v>
      </c>
    </row>
    <row r="57" spans="2:6">
      <c r="B57" t="s">
        <v>135</v>
      </c>
      <c r="C57" t="s">
        <v>136</v>
      </c>
    </row>
    <row r="58" spans="2:6">
      <c r="B58" t="s">
        <v>137</v>
      </c>
      <c r="C58" t="s">
        <v>138</v>
      </c>
    </row>
    <row r="59" spans="2:6">
      <c r="B59" t="s">
        <v>139</v>
      </c>
      <c r="C59" t="s">
        <v>140</v>
      </c>
    </row>
    <row r="60" spans="2:6">
      <c r="B60" t="s">
        <v>141</v>
      </c>
      <c r="C60" t="s">
        <v>142</v>
      </c>
    </row>
    <row r="61" spans="2:6">
      <c r="B61" t="s">
        <v>143</v>
      </c>
      <c r="C61" t="s">
        <v>144</v>
      </c>
    </row>
    <row r="62" spans="2:6">
      <c r="B62" t="s">
        <v>145</v>
      </c>
      <c r="C62" t="s">
        <v>146</v>
      </c>
    </row>
    <row r="63" spans="2:6">
      <c r="B63" t="s">
        <v>147</v>
      </c>
      <c r="C63" t="s">
        <v>148</v>
      </c>
    </row>
    <row r="64" spans="2:6">
      <c r="B64" t="s">
        <v>149</v>
      </c>
      <c r="C64" t="s">
        <v>150</v>
      </c>
    </row>
    <row r="65" spans="2:3">
      <c r="B65" t="s">
        <v>151</v>
      </c>
      <c r="C65" t="s">
        <v>152</v>
      </c>
    </row>
    <row r="66" spans="2:3">
      <c r="C66" t="s">
        <v>153</v>
      </c>
    </row>
    <row r="67" spans="2:3">
      <c r="B67" t="s">
        <v>154</v>
      </c>
      <c r="C67" t="s">
        <v>155</v>
      </c>
    </row>
    <row r="68" spans="2:3">
      <c r="C68" t="s">
        <v>156</v>
      </c>
    </row>
    <row r="69" spans="2:3">
      <c r="B69" t="s">
        <v>157</v>
      </c>
      <c r="C69" t="s">
        <v>158</v>
      </c>
    </row>
    <row r="70" spans="2:3">
      <c r="B70" t="s">
        <v>159</v>
      </c>
      <c r="C70" t="s">
        <v>160</v>
      </c>
    </row>
    <row r="71" spans="2:3">
      <c r="B71" t="s">
        <v>161</v>
      </c>
      <c r="C71" t="s">
        <v>162</v>
      </c>
    </row>
    <row r="72" spans="2:3">
      <c r="B72" t="s">
        <v>163</v>
      </c>
      <c r="C72" t="s">
        <v>164</v>
      </c>
    </row>
    <row r="73" spans="2:3" ht="15" thickBot="1"/>
    <row r="74" spans="2:3" s="17" customFormat="1" ht="15" thickBot="1">
      <c r="B74" s="19" t="s">
        <v>38</v>
      </c>
      <c r="C74" s="17" t="s">
        <v>165</v>
      </c>
    </row>
    <row r="75" spans="2:3">
      <c r="B75" s="24" t="s">
        <v>112</v>
      </c>
      <c r="C75" t="s">
        <v>166</v>
      </c>
    </row>
    <row r="76" spans="2:3">
      <c r="B76" s="24" t="s">
        <v>118</v>
      </c>
      <c r="C76" t="s">
        <v>167</v>
      </c>
    </row>
    <row r="77" spans="2:3">
      <c r="B77" t="s">
        <v>168</v>
      </c>
      <c r="C77" t="s">
        <v>169</v>
      </c>
    </row>
    <row r="78" spans="2:3">
      <c r="B78" t="s">
        <v>170</v>
      </c>
      <c r="C78" t="s">
        <v>171</v>
      </c>
    </row>
    <row r="79" spans="2:3">
      <c r="B79" t="s">
        <v>172</v>
      </c>
      <c r="C79" t="s">
        <v>173</v>
      </c>
    </row>
    <row r="80" spans="2:3">
      <c r="B80" t="s">
        <v>174</v>
      </c>
      <c r="C80" t="s">
        <v>175</v>
      </c>
    </row>
    <row r="81" spans="2:6">
      <c r="B81" s="27" t="s">
        <v>176</v>
      </c>
      <c r="C81" t="s">
        <v>177</v>
      </c>
    </row>
    <row r="82" spans="2:6" ht="15" thickBot="1"/>
    <row r="83" spans="2:6" s="17" customFormat="1" ht="15" thickBot="1">
      <c r="B83" s="19" t="s">
        <v>39</v>
      </c>
      <c r="C83" s="17" t="s">
        <v>178</v>
      </c>
      <c r="E83" s="19" t="s">
        <v>179</v>
      </c>
      <c r="F83" s="17" t="s">
        <v>180</v>
      </c>
    </row>
    <row r="84" spans="2:6">
      <c r="B84" t="s">
        <v>181</v>
      </c>
      <c r="C84" t="s">
        <v>182</v>
      </c>
    </row>
    <row r="85" spans="2:6">
      <c r="B85" t="s">
        <v>120</v>
      </c>
      <c r="C85" t="s">
        <v>183</v>
      </c>
    </row>
    <row r="86" spans="2:6">
      <c r="B86" t="s">
        <v>184</v>
      </c>
      <c r="C86" t="s">
        <v>185</v>
      </c>
    </row>
    <row r="87" spans="2:6">
      <c r="B87" t="s">
        <v>170</v>
      </c>
      <c r="C87" t="s">
        <v>186</v>
      </c>
    </row>
    <row r="88" spans="2:6">
      <c r="B88" t="s">
        <v>187</v>
      </c>
      <c r="C88" t="s">
        <v>188</v>
      </c>
    </row>
    <row r="89" spans="2:6">
      <c r="B89" t="s">
        <v>189</v>
      </c>
      <c r="C89" t="s">
        <v>190</v>
      </c>
    </row>
    <row r="90" spans="2:6">
      <c r="B90" t="s">
        <v>191</v>
      </c>
      <c r="C90" t="s">
        <v>192</v>
      </c>
    </row>
    <row r="91" spans="2:6">
      <c r="B91" t="s">
        <v>193</v>
      </c>
      <c r="C91" t="s">
        <v>194</v>
      </c>
    </row>
    <row r="92" spans="2:6">
      <c r="B92" t="s">
        <v>195</v>
      </c>
      <c r="C92" t="s">
        <v>196</v>
      </c>
    </row>
    <row r="93" spans="2:6">
      <c r="B93" t="s">
        <v>197</v>
      </c>
      <c r="C93" t="s">
        <v>198</v>
      </c>
    </row>
    <row r="94" spans="2:6">
      <c r="B94" t="s">
        <v>199</v>
      </c>
      <c r="C94" t="s">
        <v>200</v>
      </c>
    </row>
    <row r="95" spans="2:6">
      <c r="B95" t="s">
        <v>201</v>
      </c>
      <c r="C95" t="s">
        <v>202</v>
      </c>
    </row>
    <row r="96" spans="2:6">
      <c r="B96" t="s">
        <v>203</v>
      </c>
      <c r="C96" t="s">
        <v>204</v>
      </c>
    </row>
    <row r="97" spans="2:3">
      <c r="B97" s="27" t="s">
        <v>205</v>
      </c>
      <c r="C97" t="s">
        <v>206</v>
      </c>
    </row>
    <row r="98" spans="2:3">
      <c r="B98" t="s">
        <v>207</v>
      </c>
      <c r="C98" t="s">
        <v>208</v>
      </c>
    </row>
    <row r="99" spans="2:3">
      <c r="B99" t="s">
        <v>209</v>
      </c>
      <c r="C99" t="s">
        <v>210</v>
      </c>
    </row>
    <row r="100" spans="2:3">
      <c r="B100" t="s">
        <v>211</v>
      </c>
      <c r="C100" t="s">
        <v>212</v>
      </c>
    </row>
    <row r="101" spans="2:3">
      <c r="B101" t="s">
        <v>213</v>
      </c>
      <c r="C101" t="s">
        <v>214</v>
      </c>
    </row>
    <row r="102" spans="2:3">
      <c r="B102" t="s">
        <v>215</v>
      </c>
      <c r="C102" t="s">
        <v>216</v>
      </c>
    </row>
    <row r="103" spans="2:3" ht="15" thickBot="1"/>
    <row r="104" spans="2:3" s="17" customFormat="1" ht="15" thickBot="1">
      <c r="B104" s="19" t="s">
        <v>41</v>
      </c>
      <c r="C104" s="17" t="s">
        <v>217</v>
      </c>
    </row>
    <row r="105" spans="2:3">
      <c r="B105" s="27" t="s">
        <v>181</v>
      </c>
      <c r="C105" t="s">
        <v>218</v>
      </c>
    </row>
    <row r="106" spans="2:3">
      <c r="B106" t="s">
        <v>219</v>
      </c>
      <c r="C106" t="s">
        <v>220</v>
      </c>
    </row>
    <row r="107" spans="2:3">
      <c r="B107" t="s">
        <v>161</v>
      </c>
      <c r="C107" t="s">
        <v>221</v>
      </c>
    </row>
    <row r="108" spans="2:3" ht="15" thickBot="1"/>
    <row r="109" spans="2:3" s="17" customFormat="1" ht="15" thickBot="1">
      <c r="B109" s="19" t="s">
        <v>42</v>
      </c>
      <c r="C109" s="17" t="s">
        <v>222</v>
      </c>
    </row>
    <row r="110" spans="2:3">
      <c r="B110" s="27" t="s">
        <v>45</v>
      </c>
      <c r="C110" t="s">
        <v>223</v>
      </c>
    </row>
    <row r="111" spans="2:3">
      <c r="B111" t="s">
        <v>32</v>
      </c>
      <c r="C111" t="s">
        <v>224</v>
      </c>
    </row>
    <row r="112" spans="2:3">
      <c r="B112" t="s">
        <v>33</v>
      </c>
      <c r="C112" t="s">
        <v>225</v>
      </c>
    </row>
    <row r="113" spans="2:3">
      <c r="B113" t="s">
        <v>40</v>
      </c>
      <c r="C113" t="s">
        <v>226</v>
      </c>
    </row>
    <row r="114" spans="2:3" ht="15" thickBot="1"/>
    <row r="115" spans="2:3" s="17" customFormat="1" ht="15" thickBot="1">
      <c r="B115" s="19" t="s">
        <v>43</v>
      </c>
      <c r="C115" s="17" t="s">
        <v>227</v>
      </c>
    </row>
    <row r="116" spans="2:3">
      <c r="B116" s="27" t="s">
        <v>45</v>
      </c>
      <c r="C116" t="s">
        <v>228</v>
      </c>
    </row>
    <row r="117" spans="2:3">
      <c r="B117" t="s">
        <v>33</v>
      </c>
      <c r="C117" t="s">
        <v>229</v>
      </c>
    </row>
    <row r="118" spans="2:3" ht="15" thickBot="1"/>
    <row r="119" spans="2:3" s="17" customFormat="1" ht="15" thickBot="1">
      <c r="B119" s="19" t="s">
        <v>230</v>
      </c>
      <c r="C119" s="17" t="s">
        <v>231</v>
      </c>
    </row>
    <row r="120" spans="2:3">
      <c r="B120" s="27" t="s">
        <v>232</v>
      </c>
      <c r="C120" t="s">
        <v>233</v>
      </c>
    </row>
    <row r="121" spans="2:3">
      <c r="B121" t="s">
        <v>234</v>
      </c>
      <c r="C121" t="s">
        <v>235</v>
      </c>
    </row>
    <row r="122" spans="2:3" ht="15" thickBot="1"/>
    <row r="123" spans="2:3" s="17" customFormat="1" ht="15" thickBot="1">
      <c r="B123" s="19" t="s">
        <v>45</v>
      </c>
      <c r="C123" s="17" t="s">
        <v>236</v>
      </c>
    </row>
    <row r="124" spans="2:3">
      <c r="B124" s="27" t="s">
        <v>45</v>
      </c>
      <c r="C124" t="s">
        <v>237</v>
      </c>
    </row>
    <row r="125" spans="2:3">
      <c r="B125" t="s">
        <v>32</v>
      </c>
      <c r="C125" t="s">
        <v>238</v>
      </c>
    </row>
    <row r="126" spans="2:3">
      <c r="B126" t="s">
        <v>239</v>
      </c>
      <c r="C126" t="s">
        <v>240</v>
      </c>
    </row>
    <row r="127" spans="2:3" ht="15" thickBot="1"/>
    <row r="128" spans="2:3" s="17" customFormat="1" ht="15" thickBot="1">
      <c r="B128" s="19" t="s">
        <v>46</v>
      </c>
      <c r="C128" s="17" t="s">
        <v>241</v>
      </c>
    </row>
    <row r="129" spans="2:3">
      <c r="B129" s="27" t="s">
        <v>45</v>
      </c>
      <c r="C129" t="s">
        <v>242</v>
      </c>
    </row>
    <row r="130" spans="2:3">
      <c r="B130" t="s">
        <v>32</v>
      </c>
      <c r="C130" t="s">
        <v>243</v>
      </c>
    </row>
  </sheetData>
  <dataConsolidate/>
  <mergeCells count="9">
    <mergeCell ref="AC5:AD5"/>
    <mergeCell ref="AF5:AG5"/>
    <mergeCell ref="AM5:AO5"/>
    <mergeCell ref="B5:G5"/>
    <mergeCell ref="I5:K5"/>
    <mergeCell ref="Q5:R5"/>
    <mergeCell ref="T5:U5"/>
    <mergeCell ref="W5:X5"/>
    <mergeCell ref="Z5:AA5"/>
  </mergeCells>
  <phoneticPr fontId="7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34CA7-EDC4-4E1F-9627-7B7D9F92A048}">
  <dimension ref="B2:G13"/>
  <sheetViews>
    <sheetView workbookViewId="0">
      <selection activeCell="C4" sqref="C4"/>
    </sheetView>
  </sheetViews>
  <sheetFormatPr defaultRowHeight="14.45"/>
  <sheetData>
    <row r="2" spans="2:7" ht="43.15">
      <c r="B2" s="30" t="s">
        <v>244</v>
      </c>
      <c r="C2" s="30" t="s">
        <v>245</v>
      </c>
      <c r="D2" s="30" t="s">
        <v>246</v>
      </c>
      <c r="E2" s="30" t="s">
        <v>247</v>
      </c>
      <c r="F2" s="30" t="s">
        <v>248</v>
      </c>
      <c r="G2" s="30" t="s">
        <v>249</v>
      </c>
    </row>
    <row r="3" spans="2:7" ht="28.9">
      <c r="B3" s="30" t="s">
        <v>250</v>
      </c>
      <c r="C3" s="30" t="s">
        <v>251</v>
      </c>
      <c r="D3" s="30" t="s">
        <v>252</v>
      </c>
      <c r="E3" s="30" t="s">
        <v>253</v>
      </c>
      <c r="F3" s="30" t="s">
        <v>254</v>
      </c>
      <c r="G3" s="30" t="s">
        <v>255</v>
      </c>
    </row>
    <row r="4" spans="2:7">
      <c r="B4" s="30">
        <v>2</v>
      </c>
      <c r="C4" s="30">
        <v>1.0065869999999999</v>
      </c>
      <c r="D4" s="30">
        <v>0.79500000000000004</v>
      </c>
      <c r="E4" s="30">
        <v>2</v>
      </c>
      <c r="F4" s="30">
        <v>-3950.5502000000001</v>
      </c>
      <c r="G4" s="30">
        <v>3924.6982130000001</v>
      </c>
    </row>
    <row r="5" spans="2:7">
      <c r="B5" s="30">
        <v>1.7</v>
      </c>
      <c r="C5" s="30">
        <v>1.0065869999999999</v>
      </c>
      <c r="D5" s="30">
        <v>0.79500000000000004</v>
      </c>
      <c r="E5" s="30">
        <v>2</v>
      </c>
      <c r="F5" s="30">
        <v>-3822.0635000000002</v>
      </c>
      <c r="G5" s="30">
        <v>3797.0523159999998</v>
      </c>
    </row>
    <row r="6" spans="2:7">
      <c r="B6" s="30">
        <v>1.5</v>
      </c>
      <c r="C6" s="30">
        <v>1.0065869999999999</v>
      </c>
      <c r="D6" s="30">
        <v>0.79500000000000004</v>
      </c>
      <c r="E6" s="30">
        <v>2</v>
      </c>
      <c r="F6" s="30">
        <v>-3274.6042000000002</v>
      </c>
      <c r="G6" s="30">
        <v>3253.1755330000001</v>
      </c>
    </row>
    <row r="7" spans="2:7">
      <c r="B7" s="30">
        <v>1.2</v>
      </c>
      <c r="C7" s="30">
        <v>1.0065869999999999</v>
      </c>
      <c r="D7" s="30">
        <v>0.79500000000000004</v>
      </c>
      <c r="E7" s="30">
        <v>2</v>
      </c>
      <c r="F7" s="30">
        <v>-2258.4805999999999</v>
      </c>
      <c r="G7" s="30">
        <v>2243.7013390000002</v>
      </c>
    </row>
    <row r="8" spans="2:7">
      <c r="B8" s="30">
        <v>1</v>
      </c>
      <c r="C8" s="30">
        <v>1.0065869999999999</v>
      </c>
      <c r="D8" s="30">
        <v>0.79500000000000004</v>
      </c>
      <c r="E8" s="30">
        <v>2</v>
      </c>
      <c r="F8" s="30">
        <v>-1383.9014999999999</v>
      </c>
      <c r="G8" s="30">
        <v>1374.8453930000001</v>
      </c>
    </row>
    <row r="9" spans="2:7">
      <c r="B9" s="30">
        <v>0.9</v>
      </c>
      <c r="C9" s="30">
        <v>1.0065869999999999</v>
      </c>
      <c r="D9" s="30">
        <v>0.79500000000000004</v>
      </c>
      <c r="E9" s="30">
        <v>2</v>
      </c>
      <c r="F9" s="30">
        <v>-928.66040999999996</v>
      </c>
      <c r="G9" s="30">
        <v>922.58335350000004</v>
      </c>
    </row>
    <row r="10" spans="2:7">
      <c r="B10" s="30">
        <v>0.75</v>
      </c>
      <c r="C10" s="30">
        <v>1.0065869999999999</v>
      </c>
      <c r="D10" s="30">
        <v>0.79500000000000004</v>
      </c>
      <c r="E10" s="30">
        <v>2</v>
      </c>
      <c r="F10" s="30">
        <v>-511.53152999999998</v>
      </c>
      <c r="G10" s="30">
        <v>508.18412119999999</v>
      </c>
    </row>
    <row r="11" spans="2:7">
      <c r="B11" s="30">
        <v>0.5</v>
      </c>
      <c r="C11" s="30">
        <v>1.0065869999999999</v>
      </c>
      <c r="D11" s="30">
        <v>0.79500000000000004</v>
      </c>
      <c r="E11" s="30">
        <v>2</v>
      </c>
      <c r="F11" s="30">
        <v>-238.49123</v>
      </c>
      <c r="G11" s="30">
        <v>236.9305683</v>
      </c>
    </row>
    <row r="12" spans="2:7">
      <c r="B12" s="30">
        <v>0.3</v>
      </c>
      <c r="C12" s="30">
        <v>1.0065869999999999</v>
      </c>
      <c r="D12" s="30">
        <v>0.79500000000000004</v>
      </c>
      <c r="E12" s="30">
        <v>2</v>
      </c>
      <c r="F12" s="30">
        <v>-89.189806000000004</v>
      </c>
      <c r="G12" s="30">
        <v>88.606157240000002</v>
      </c>
    </row>
    <row r="13" spans="2:7">
      <c r="B13" s="30">
        <v>0.2</v>
      </c>
      <c r="C13" s="30">
        <v>1.0065869999999999</v>
      </c>
      <c r="D13" s="30">
        <v>0.79500000000000004</v>
      </c>
      <c r="E13" s="30">
        <v>2</v>
      </c>
      <c r="F13" s="30">
        <v>-54.214457000000003</v>
      </c>
      <c r="G13" s="30">
        <v>53.859683269999998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Michał</dc:creator>
  <cp:keywords/>
  <dc:description/>
  <cp:lastModifiedBy>selahaddin teltik</cp:lastModifiedBy>
  <cp:revision/>
  <dcterms:created xsi:type="dcterms:W3CDTF">2022-04-10T16:50:34Z</dcterms:created>
  <dcterms:modified xsi:type="dcterms:W3CDTF">2024-02-01T23:46:12Z</dcterms:modified>
  <cp:category/>
  <cp:contentStatus/>
</cp:coreProperties>
</file>