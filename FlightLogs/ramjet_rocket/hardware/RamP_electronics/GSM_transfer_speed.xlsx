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d.docs.live.net/057c4830996b3d29/Studia/Melprop/RamP/RamP_electronics/"/>
    </mc:Choice>
  </mc:AlternateContent>
  <xr:revisionPtr revIDLastSave="31" documentId="8_{EFDC8AED-FFB4-4BDD-B863-7D3D78DD70FA}" xr6:coauthVersionLast="47" xr6:coauthVersionMax="47" xr10:uidLastSave="{EC5814E0-4521-4560-BC22-99B7EB6C6A57}"/>
  <bookViews>
    <workbookView xWindow="-108" yWindow="-108" windowWidth="23256" windowHeight="12720" firstSheet="2" activeTab="2" xr2:uid="{5DB51DF6-26DE-473D-A77D-E1A29292E4C0}"/>
  </bookViews>
  <sheets>
    <sheet name="Sheet2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G17" i="2" l="1"/>
  <c r="D17" i="2" s="1"/>
  <c r="D18" i="2" s="1"/>
  <c r="D23" i="2" s="1"/>
  <c r="E17" i="2"/>
  <c r="F17" i="2"/>
  <c r="D4" i="2"/>
  <c r="C8" i="1"/>
  <c r="C14" i="1"/>
  <c r="C13" i="1"/>
  <c r="C12" i="1"/>
  <c r="C11" i="1"/>
  <c r="C10" i="1"/>
  <c r="C6" i="1"/>
  <c r="C9" i="1"/>
  <c r="C5" i="1"/>
  <c r="F6" i="1"/>
  <c r="E6" i="1" s="1"/>
  <c r="D6" i="1" s="1"/>
  <c r="C7" i="1"/>
  <c r="C16" i="1"/>
  <c r="C17" i="1"/>
  <c r="C18" i="1"/>
  <c r="C19" i="1"/>
</calcChain>
</file>

<file path=xl/sharedStrings.xml><?xml version="1.0" encoding="utf-8"?>
<sst xmlns="http://schemas.openxmlformats.org/spreadsheetml/2006/main" count="52" uniqueCount="40">
  <si>
    <t>pressure sensor data size</t>
  </si>
  <si>
    <t>[bytes]</t>
  </si>
  <si>
    <t>thermistor data size</t>
  </si>
  <si>
    <t>Accelomiter data size</t>
  </si>
  <si>
    <t>time data size</t>
  </si>
  <si>
    <t>type data size</t>
  </si>
  <si>
    <t>pressure sensor frequency</t>
  </si>
  <si>
    <t>[Hz]</t>
  </si>
  <si>
    <t>thermistor frequency</t>
  </si>
  <si>
    <t>accelerometer frequency</t>
  </si>
  <si>
    <t>number of pressure sensors</t>
  </si>
  <si>
    <t>[-]</t>
  </si>
  <si>
    <t>number of thermistors</t>
  </si>
  <si>
    <t>number of accelerometers</t>
  </si>
  <si>
    <t>data generation rate</t>
  </si>
  <si>
    <t>[bytes/s]</t>
  </si>
  <si>
    <t>[bits/s]</t>
  </si>
  <si>
    <t>data send rate</t>
  </si>
  <si>
    <t>send time</t>
  </si>
  <si>
    <t>[s/s]</t>
  </si>
  <si>
    <t>data chunk size</t>
  </si>
  <si>
    <t>average bitrate</t>
  </si>
  <si>
    <t>No</t>
  </si>
  <si>
    <t>[bit/s]</t>
  </si>
  <si>
    <t>One stuck try</t>
  </si>
  <si>
    <t>parachute area</t>
  </si>
  <si>
    <t>[m^2]</t>
  </si>
  <si>
    <t>time</t>
  </si>
  <si>
    <t>altitude</t>
  </si>
  <si>
    <t>velocity</t>
  </si>
  <si>
    <t>acceleration</t>
  </si>
  <si>
    <t>drag force</t>
  </si>
  <si>
    <t>air density</t>
  </si>
  <si>
    <t>parachute cd</t>
  </si>
  <si>
    <t>[s]</t>
  </si>
  <si>
    <t>[m]</t>
  </si>
  <si>
    <t>[m/s]</t>
  </si>
  <si>
    <t>[m/s^2]</t>
  </si>
  <si>
    <t>[N]</t>
  </si>
  <si>
    <t>[kg/m^2]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</si>
</sst>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average bitrate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Sheet1!$B$5:$B$15</c:f>
              <c:numCache>
                <c:formatCode>General</c:formatCode>
                <c:ptCount val="11"/>
                <c:pt idx="0">
                  <c:v>3500</c:v>
                </c:pt>
                <c:pt idx="1">
                  <c:v>3000</c:v>
                </c:pt>
                <c:pt idx="2">
                  <c:v>2500</c:v>
                </c:pt>
                <c:pt idx="3">
                  <c:v>2200</c:v>
                </c:pt>
                <c:pt idx="4">
                  <c:v>2000</c:v>
                </c:pt>
                <c:pt idx="5">
                  <c:v>1500</c:v>
                </c:pt>
                <c:pt idx="6">
                  <c:v>1000</c:v>
                </c:pt>
                <c:pt idx="7">
                  <c:v>500</c:v>
                </c:pt>
                <c:pt idx="8">
                  <c:v>250</c:v>
                </c:pt>
                <c:pt idx="9">
                  <c:v>150</c:v>
                </c:pt>
                <c:pt idx="10">
                  <c:v>0</c:v>
                </c:pt>
              </c:numCache>
            </c:numRef>
          </c:xVal>
          <c:yVal>
            <c:numRef>
              <c:f>Sheet1!$C$5:$C$15</c:f>
              <c:numCache>
                <c:formatCode>General</c:formatCode>
                <c:ptCount val="11"/>
                <c:pt idx="0">
                  <c:v>16542.085999999999</c:v>
                </c:pt>
                <c:pt idx="1">
                  <c:v>14532.982</c:v>
                </c:pt>
                <c:pt idx="2">
                  <c:v>14539.056</c:v>
                </c:pt>
                <c:pt idx="3">
                  <c:v>13248.92</c:v>
                </c:pt>
                <c:pt idx="4">
                  <c:v>10541.288199999999</c:v>
                </c:pt>
                <c:pt idx="5">
                  <c:v>14339.967999999999</c:v>
                </c:pt>
                <c:pt idx="6">
                  <c:v>12728.673999999999</c:v>
                </c:pt>
                <c:pt idx="7">
                  <c:v>7498.7592000000004</c:v>
                </c:pt>
                <c:pt idx="8">
                  <c:v>4551.4294</c:v>
                </c:pt>
                <c:pt idx="9">
                  <c:v>2464.7905999999998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B-4468-916D-9F632469F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8064"/>
        <c:axId val="31346624"/>
      </c:scatterChart>
      <c:valAx>
        <c:axId val="3134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6624"/>
        <c:crosses val="autoZero"/>
        <c:crossBetween val="midCat"/>
      </c:valAx>
      <c:valAx>
        <c:axId val="313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7</xdr:row>
      <xdr:rowOff>80010</xdr:rowOff>
    </xdr:from>
    <xdr:to>
      <xdr:col>17</xdr:col>
      <xdr:colOff>327660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0529F-32C1-BDED-7C0F-F96E8336F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8396-8505-4F95-A894-4011F835AD9E}">
  <dimension ref="B2:G23"/>
  <sheetViews>
    <sheetView workbookViewId="0">
      <selection activeCell="D21" sqref="D21"/>
    </sheetView>
  </sheetViews>
  <sheetFormatPr defaultRowHeight="14.45"/>
  <cols>
    <col min="2" max="2" width="25.140625" customWidth="1"/>
  </cols>
  <sheetData>
    <row r="2" spans="2:4">
      <c r="B2" t="s">
        <v>0</v>
      </c>
      <c r="C2" t="s">
        <v>1</v>
      </c>
      <c r="D2">
        <v>6</v>
      </c>
    </row>
    <row r="3" spans="2:4">
      <c r="B3" t="s">
        <v>2</v>
      </c>
      <c r="C3" t="s">
        <v>1</v>
      </c>
      <c r="D3">
        <v>2</v>
      </c>
    </row>
    <row r="4" spans="2:4">
      <c r="B4" t="s">
        <v>3</v>
      </c>
      <c r="C4" t="s">
        <v>1</v>
      </c>
      <c r="D4">
        <f>6+6+8+6</f>
        <v>26</v>
      </c>
    </row>
    <row r="5" spans="2:4">
      <c r="B5" t="s">
        <v>4</v>
      </c>
      <c r="C5" t="s">
        <v>1</v>
      </c>
      <c r="D5">
        <v>7</v>
      </c>
    </row>
    <row r="6" spans="2:4">
      <c r="B6" t="s">
        <v>5</v>
      </c>
      <c r="C6" t="s">
        <v>1</v>
      </c>
      <c r="D6">
        <v>1</v>
      </c>
    </row>
    <row r="8" spans="2:4">
      <c r="B8" t="s">
        <v>6</v>
      </c>
      <c r="C8" t="s">
        <v>7</v>
      </c>
      <c r="D8">
        <v>100</v>
      </c>
    </row>
    <row r="9" spans="2:4">
      <c r="B9" t="s">
        <v>8</v>
      </c>
      <c r="C9" t="s">
        <v>7</v>
      </c>
      <c r="D9">
        <v>10</v>
      </c>
    </row>
    <row r="10" spans="2:4">
      <c r="B10" t="s">
        <v>9</v>
      </c>
      <c r="C10" t="s">
        <v>7</v>
      </c>
      <c r="D10">
        <v>200</v>
      </c>
    </row>
    <row r="12" spans="2:4">
      <c r="B12" t="s">
        <v>10</v>
      </c>
      <c r="C12" t="s">
        <v>11</v>
      </c>
      <c r="D12">
        <v>35</v>
      </c>
    </row>
    <row r="13" spans="2:4">
      <c r="B13" t="s">
        <v>12</v>
      </c>
      <c r="C13" t="s">
        <v>11</v>
      </c>
      <c r="D13">
        <v>13</v>
      </c>
    </row>
    <row r="14" spans="2:4">
      <c r="B14" t="s">
        <v>13</v>
      </c>
      <c r="C14" t="s">
        <v>11</v>
      </c>
      <c r="D14">
        <v>1</v>
      </c>
    </row>
    <row r="17" spans="2:7">
      <c r="B17" t="s">
        <v>14</v>
      </c>
      <c r="C17" t="s">
        <v>15</v>
      </c>
      <c r="D17">
        <f>SUM(E17:G17)</f>
        <v>28940</v>
      </c>
      <c r="E17">
        <f>D8*(D6+D5+D2*D12)</f>
        <v>21800</v>
      </c>
      <c r="F17">
        <f>D9*(D6+D5+D3*D13)</f>
        <v>340</v>
      </c>
      <c r="G17">
        <f>D10*(D6+D5+D4*D14)</f>
        <v>6800</v>
      </c>
    </row>
    <row r="18" spans="2:7">
      <c r="C18" t="s">
        <v>16</v>
      </c>
      <c r="D18">
        <f>D17*8</f>
        <v>231520</v>
      </c>
    </row>
    <row r="21" spans="2:7">
      <c r="B21" t="s">
        <v>17</v>
      </c>
      <c r="C21" t="s">
        <v>16</v>
      </c>
      <c r="D21">
        <v>30000</v>
      </c>
    </row>
    <row r="23" spans="2:7">
      <c r="B23" t="s">
        <v>18</v>
      </c>
      <c r="C23" t="s">
        <v>19</v>
      </c>
      <c r="D23">
        <f>D18/D21</f>
        <v>7.7173333333333334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72A5-16EC-457F-B72B-F32502705DD8}">
  <dimension ref="A3:N19"/>
  <sheetViews>
    <sheetView workbookViewId="0">
      <selection activeCell="F18" sqref="F18"/>
    </sheetView>
  </sheetViews>
  <sheetFormatPr defaultRowHeight="14.45"/>
  <cols>
    <col min="2" max="2" width="13.140625" customWidth="1"/>
  </cols>
  <sheetData>
    <row r="3" spans="1:14">
      <c r="B3" t="s">
        <v>20</v>
      </c>
      <c r="C3" t="s">
        <v>21</v>
      </c>
    </row>
    <row r="4" spans="1:14">
      <c r="A4" t="s">
        <v>22</v>
      </c>
      <c r="B4" t="s">
        <v>1</v>
      </c>
      <c r="C4" t="s">
        <v>23</v>
      </c>
    </row>
    <row r="5" spans="1:14">
      <c r="A5">
        <v>1</v>
      </c>
      <c r="B5">
        <v>3500</v>
      </c>
      <c r="C5">
        <f>AVERAGE(D5:H5)</f>
        <v>16542.085999999999</v>
      </c>
      <c r="D5">
        <v>17212.32</v>
      </c>
      <c r="E5">
        <v>15559.49</v>
      </c>
      <c r="F5">
        <v>16265.45</v>
      </c>
      <c r="G5">
        <v>19214.45</v>
      </c>
      <c r="H5">
        <v>14458.72</v>
      </c>
      <c r="I5" t="s">
        <v>24</v>
      </c>
    </row>
    <row r="6" spans="1:14">
      <c r="A6">
        <v>2</v>
      </c>
      <c r="B6">
        <v>3000</v>
      </c>
      <c r="C6">
        <f>AVERAGE(I6:M6)</f>
        <v>14532.982</v>
      </c>
      <c r="D6">
        <f t="shared" ref="D6:F6" si="0">AVERAGE(E6:L6)</f>
        <v>11146.244910714286</v>
      </c>
      <c r="E6">
        <f t="shared" si="0"/>
        <v>11335.332142857142</v>
      </c>
      <c r="F6">
        <f t="shared" si="0"/>
        <v>11335.332142857142</v>
      </c>
      <c r="G6">
        <v>3922.8670000000002</v>
      </c>
      <c r="H6">
        <v>2759.5479999999998</v>
      </c>
      <c r="I6">
        <v>15576.26</v>
      </c>
      <c r="J6">
        <v>12432.34</v>
      </c>
      <c r="K6">
        <v>15074.24</v>
      </c>
      <c r="L6">
        <v>16734.04</v>
      </c>
      <c r="M6">
        <v>12848.03</v>
      </c>
      <c r="N6" t="s">
        <v>24</v>
      </c>
    </row>
    <row r="7" spans="1:14">
      <c r="A7">
        <v>3</v>
      </c>
      <c r="B7">
        <v>2500</v>
      </c>
      <c r="C7">
        <f>AVERAGE(D7:H7)</f>
        <v>14539.056</v>
      </c>
      <c r="D7">
        <v>12272.34</v>
      </c>
      <c r="E7">
        <v>14666.12</v>
      </c>
      <c r="F7">
        <v>14636.97</v>
      </c>
      <c r="G7">
        <v>14652.57</v>
      </c>
      <c r="H7">
        <v>16467.28</v>
      </c>
    </row>
    <row r="8" spans="1:14">
      <c r="A8">
        <v>4</v>
      </c>
      <c r="B8">
        <v>2200</v>
      </c>
      <c r="C8">
        <f>AVERAGE(D8:H8)</f>
        <v>13248.92</v>
      </c>
      <c r="D8">
        <v>13248.92</v>
      </c>
    </row>
    <row r="9" spans="1:14">
      <c r="A9">
        <v>5</v>
      </c>
      <c r="B9">
        <v>2000</v>
      </c>
      <c r="C9">
        <f>AVERAGE(D9:H9)</f>
        <v>10541.288199999999</v>
      </c>
      <c r="D9">
        <v>7698.8829999999998</v>
      </c>
      <c r="E9">
        <v>11377.03</v>
      </c>
      <c r="F9">
        <v>10018.56</v>
      </c>
      <c r="G9">
        <v>9643.8680000000004</v>
      </c>
      <c r="H9">
        <v>13968.1</v>
      </c>
    </row>
    <row r="10" spans="1:14">
      <c r="A10">
        <v>6</v>
      </c>
      <c r="B10">
        <v>1500</v>
      </c>
      <c r="C10">
        <f>AVERAGE(D10:H10)</f>
        <v>14339.967999999999</v>
      </c>
      <c r="D10">
        <v>14576.5</v>
      </c>
      <c r="E10">
        <v>13915.04</v>
      </c>
      <c r="F10">
        <v>14842.91</v>
      </c>
      <c r="G10">
        <v>14784.38</v>
      </c>
      <c r="H10">
        <v>13581.01</v>
      </c>
    </row>
    <row r="11" spans="1:14">
      <c r="A11">
        <v>7</v>
      </c>
      <c r="B11">
        <v>1000</v>
      </c>
      <c r="C11">
        <f>AVERAGE(D11:H11)</f>
        <v>12728.673999999999</v>
      </c>
      <c r="D11">
        <v>11352.96</v>
      </c>
      <c r="E11">
        <v>12340.82</v>
      </c>
      <c r="F11">
        <v>11978.98</v>
      </c>
      <c r="G11">
        <v>13754.61</v>
      </c>
      <c r="H11">
        <v>14216</v>
      </c>
    </row>
    <row r="12" spans="1:14">
      <c r="A12">
        <v>8</v>
      </c>
      <c r="B12">
        <v>500</v>
      </c>
      <c r="C12">
        <f>AVERAGE(D12:H12)</f>
        <v>7498.7592000000004</v>
      </c>
      <c r="D12">
        <v>7633.6390000000001</v>
      </c>
      <c r="E12">
        <v>7884.3990000000003</v>
      </c>
      <c r="F12">
        <v>9336.5139999999992</v>
      </c>
      <c r="G12">
        <v>7586.8869999999997</v>
      </c>
      <c r="H12">
        <v>5052.357</v>
      </c>
    </row>
    <row r="13" spans="1:14">
      <c r="A13">
        <v>9</v>
      </c>
      <c r="B13">
        <v>250</v>
      </c>
      <c r="C13">
        <f>AVERAGE(D13:H13)</f>
        <v>4551.4294</v>
      </c>
      <c r="D13">
        <v>4655.1499999999996</v>
      </c>
      <c r="E13">
        <v>4936.1350000000002</v>
      </c>
      <c r="F13">
        <v>4293.4790000000003</v>
      </c>
      <c r="G13">
        <v>4912.2889999999998</v>
      </c>
      <c r="H13">
        <v>3960.0940000000001</v>
      </c>
    </row>
    <row r="14" spans="1:14">
      <c r="A14">
        <v>10</v>
      </c>
      <c r="B14">
        <v>150</v>
      </c>
      <c r="C14">
        <f>AVERAGE(D14:H14)</f>
        <v>2464.7905999999998</v>
      </c>
      <c r="D14">
        <v>2779.884</v>
      </c>
      <c r="E14">
        <v>2605.9479999999999</v>
      </c>
      <c r="F14">
        <v>2882.8470000000002</v>
      </c>
      <c r="G14">
        <v>2009.0419999999999</v>
      </c>
      <c r="H14">
        <v>2046.232</v>
      </c>
    </row>
    <row r="15" spans="1:14">
      <c r="A15">
        <v>11</v>
      </c>
      <c r="B15">
        <v>0</v>
      </c>
      <c r="C15">
        <v>0</v>
      </c>
    </row>
    <row r="16" spans="1:14">
      <c r="A16">
        <v>12</v>
      </c>
      <c r="C16" t="e">
        <f t="shared" ref="C7:C19" si="1">AVERAGE(D16:K16)</f>
        <v>#DIV/0!</v>
      </c>
    </row>
    <row r="17" spans="1:3">
      <c r="A17">
        <v>13</v>
      </c>
      <c r="C17" t="e">
        <f t="shared" si="1"/>
        <v>#DIV/0!</v>
      </c>
    </row>
    <row r="18" spans="1:3">
      <c r="A18">
        <v>14</v>
      </c>
      <c r="C18" t="e">
        <f t="shared" si="1"/>
        <v>#DIV/0!</v>
      </c>
    </row>
    <row r="19" spans="1:3">
      <c r="A19">
        <v>15</v>
      </c>
      <c r="C19" t="e">
        <f t="shared" si="1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8A92-24D8-44F1-B628-7DB7778291B7}">
  <dimension ref="B2:L4"/>
  <sheetViews>
    <sheetView tabSelected="1" workbookViewId="0">
      <selection activeCell="B2" sqref="B2:D3"/>
    </sheetView>
  </sheetViews>
  <sheetFormatPr defaultRowHeight="14.45"/>
  <cols>
    <col min="2" max="2" width="13.28515625" bestFit="1" customWidth="1"/>
    <col min="10" max="10" width="13" customWidth="1"/>
  </cols>
  <sheetData>
    <row r="2" spans="2:12">
      <c r="B2" t="s">
        <v>25</v>
      </c>
      <c r="C2" t="s">
        <v>26</v>
      </c>
      <c r="D2">
        <f>0.25*PI()*0.9^2</f>
        <v>0.63617251235193317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</row>
    <row r="3" spans="2:12">
      <c r="B3" t="s">
        <v>33</v>
      </c>
      <c r="C3" t="s">
        <v>11</v>
      </c>
      <c r="D3">
        <v>0.86632201072683035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</row>
    <row r="4" spans="2:12">
      <c r="G4">
        <v>0</v>
      </c>
      <c r="H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 S</dc:creator>
  <cp:keywords/>
  <dc:description/>
  <cp:lastModifiedBy>Alex Czernicki</cp:lastModifiedBy>
  <cp:revision/>
  <dcterms:created xsi:type="dcterms:W3CDTF">2025-04-20T12:04:18Z</dcterms:created>
  <dcterms:modified xsi:type="dcterms:W3CDTF">2026-05-08T21:47:56Z</dcterms:modified>
  <cp:category/>
  <cp:contentStatus/>
</cp:coreProperties>
</file>