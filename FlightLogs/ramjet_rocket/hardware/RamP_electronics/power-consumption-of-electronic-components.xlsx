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d.docs.live.net/057c4830996b3d29/Studia/Melprop/RamP/RamP_electronics/"/>
    </mc:Choice>
  </mc:AlternateContent>
  <xr:revisionPtr revIDLastSave="122" documentId="8_{1EB7BC7C-A385-4A97-889A-2497C66D3CDA}" xr6:coauthVersionLast="47" xr6:coauthVersionMax="47" xr10:uidLastSave="{3CB56398-3F00-4757-AB83-671010A6D006}"/>
  <bookViews>
    <workbookView xWindow="-108" yWindow="-108" windowWidth="23256" windowHeight="12720" xr2:uid="{C9B9277A-FEE5-4D2B-8419-C747EB750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K19" i="1"/>
  <c r="K15" i="1"/>
  <c r="I18" i="1"/>
  <c r="I19" i="1" s="1"/>
  <c r="I14" i="1"/>
  <c r="I15" i="1" s="1"/>
  <c r="I10" i="1"/>
  <c r="H18" i="1"/>
  <c r="H19" i="1" s="1"/>
  <c r="H14" i="1"/>
  <c r="J19" i="1"/>
  <c r="L19" i="1"/>
  <c r="M19" i="1"/>
  <c r="N19" i="1"/>
  <c r="H11" i="1"/>
  <c r="I11" i="1"/>
  <c r="J11" i="1"/>
  <c r="K11" i="1"/>
  <c r="L11" i="1"/>
  <c r="M11" i="1"/>
  <c r="N11" i="1"/>
  <c r="H15" i="1"/>
  <c r="J15" i="1"/>
  <c r="L15" i="1"/>
  <c r="M15" i="1"/>
  <c r="N15" i="1"/>
  <c r="I7" i="1"/>
  <c r="J7" i="1"/>
  <c r="K7" i="1"/>
  <c r="L7" i="1"/>
  <c r="M7" i="1"/>
  <c r="N7" i="1"/>
  <c r="H7" i="1"/>
  <c r="F12" i="1" l="1"/>
  <c r="D12" i="1" s="1"/>
  <c r="F16" i="1"/>
  <c r="D16" i="1" s="1"/>
  <c r="F8" i="1"/>
  <c r="D8" i="1" s="1"/>
  <c r="F4" i="1"/>
  <c r="D4" i="1" s="1"/>
</calcChain>
</file>

<file path=xl/sharedStrings.xml><?xml version="1.0" encoding="utf-8"?>
<sst xmlns="http://schemas.openxmlformats.org/spreadsheetml/2006/main" count="52" uniqueCount="24">
  <si>
    <t>min life</t>
  </si>
  <si>
    <t>batery size</t>
  </si>
  <si>
    <t>total curent consumption</t>
  </si>
  <si>
    <t>current consumption per item</t>
  </si>
  <si>
    <t>device</t>
  </si>
  <si>
    <t>[h]</t>
  </si>
  <si>
    <t>[mAh]</t>
  </si>
  <si>
    <t>[mA]</t>
  </si>
  <si>
    <t>Hub1</t>
  </si>
  <si>
    <t>name</t>
  </si>
  <si>
    <t>pressure sensor gauge</t>
  </si>
  <si>
    <t>pressure sensor apsolute</t>
  </si>
  <si>
    <t>gsm</t>
  </si>
  <si>
    <t>pico</t>
  </si>
  <si>
    <t>can</t>
  </si>
  <si>
    <t>number</t>
  </si>
  <si>
    <t>current [mA]</t>
  </si>
  <si>
    <t>total [mA]</t>
  </si>
  <si>
    <t>Hub2</t>
  </si>
  <si>
    <t>Hub3</t>
  </si>
  <si>
    <t>Hub4</t>
  </si>
  <si>
    <t>imu high</t>
  </si>
  <si>
    <t>imu low</t>
  </si>
  <si>
    <t>eggtimer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</si>
</sst>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6508D-A6B7-4844-92FB-28F8FCF02E46}">
  <dimension ref="C2:N23"/>
  <sheetViews>
    <sheetView tabSelected="1" zoomScale="88" workbookViewId="0">
      <selection activeCell="F20" sqref="F20:F23"/>
    </sheetView>
  </sheetViews>
  <sheetFormatPr defaultRowHeight="14.45"/>
  <cols>
    <col min="8" max="8" width="19.5703125" customWidth="1"/>
  </cols>
  <sheetData>
    <row r="2" spans="3:14">
      <c r="D2" t="s">
        <v>0</v>
      </c>
      <c r="E2" t="s">
        <v>1</v>
      </c>
      <c r="F2" t="s">
        <v>2</v>
      </c>
      <c r="G2" s="1" t="s">
        <v>3</v>
      </c>
      <c r="H2" s="1"/>
    </row>
    <row r="3" spans="3:14">
      <c r="C3" t="s">
        <v>4</v>
      </c>
      <c r="D3" t="s">
        <v>5</v>
      </c>
      <c r="E3" t="s">
        <v>6</v>
      </c>
      <c r="F3" t="s">
        <v>7</v>
      </c>
      <c r="G3" s="1"/>
      <c r="H3" s="1"/>
    </row>
    <row r="4" spans="3:14">
      <c r="C4" s="1" t="s">
        <v>8</v>
      </c>
      <c r="D4" s="1">
        <f>E4/F4</f>
        <v>4.3038238823099801</v>
      </c>
      <c r="E4" s="1">
        <v>300</v>
      </c>
      <c r="F4" s="1">
        <f>SUM(H7:V7)</f>
        <v>69.705454545454543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  <row r="5" spans="3:14">
      <c r="C5" s="1"/>
      <c r="D5" s="1"/>
      <c r="E5" s="1"/>
      <c r="F5" s="1"/>
      <c r="G5" t="s">
        <v>15</v>
      </c>
      <c r="H5">
        <v>4</v>
      </c>
      <c r="I5">
        <v>2</v>
      </c>
      <c r="J5">
        <v>1</v>
      </c>
      <c r="K5">
        <v>1</v>
      </c>
      <c r="L5">
        <v>1</v>
      </c>
    </row>
    <row r="6" spans="3:14">
      <c r="C6" s="1"/>
      <c r="D6" s="1"/>
      <c r="E6" s="1"/>
      <c r="F6" s="1"/>
      <c r="G6" t="s">
        <v>16</v>
      </c>
      <c r="H6">
        <v>0.78424242424242396</v>
      </c>
      <c r="I6">
        <v>0.78424242424242396</v>
      </c>
      <c r="J6">
        <v>10</v>
      </c>
      <c r="K6">
        <v>50</v>
      </c>
      <c r="L6">
        <v>5</v>
      </c>
    </row>
    <row r="7" spans="3:14">
      <c r="C7" s="1"/>
      <c r="D7" s="1"/>
      <c r="E7" s="1"/>
      <c r="F7" s="1"/>
      <c r="G7" t="s">
        <v>17</v>
      </c>
      <c r="H7">
        <f>H5*H6</f>
        <v>3.1369696969696959</v>
      </c>
      <c r="I7">
        <f t="shared" ref="I7:N7" si="0">I5*I6</f>
        <v>1.5684848484848479</v>
      </c>
      <c r="J7">
        <f t="shared" si="0"/>
        <v>10</v>
      </c>
      <c r="K7">
        <f>K5*K6</f>
        <v>50</v>
      </c>
      <c r="L7">
        <f t="shared" si="0"/>
        <v>5</v>
      </c>
      <c r="M7">
        <f t="shared" si="0"/>
        <v>0</v>
      </c>
      <c r="N7">
        <f t="shared" si="0"/>
        <v>0</v>
      </c>
    </row>
    <row r="8" spans="3:14">
      <c r="C8" s="1" t="s">
        <v>18</v>
      </c>
      <c r="D8" s="1">
        <f t="shared" ref="D8" si="1">E8/F8</f>
        <v>4.7738451152473722</v>
      </c>
      <c r="E8" s="1">
        <v>300</v>
      </c>
      <c r="F8" s="1">
        <f t="shared" ref="F8" si="2">SUM(H11:V11)</f>
        <v>62.842424242424237</v>
      </c>
      <c r="G8" t="s">
        <v>9</v>
      </c>
      <c r="H8" t="s">
        <v>10</v>
      </c>
      <c r="I8" t="s">
        <v>11</v>
      </c>
      <c r="J8" t="s">
        <v>13</v>
      </c>
      <c r="K8" t="s">
        <v>14</v>
      </c>
    </row>
    <row r="9" spans="3:14">
      <c r="C9" s="1"/>
      <c r="D9" s="1"/>
      <c r="E9" s="1"/>
      <c r="F9" s="1"/>
      <c r="G9" t="s">
        <v>15</v>
      </c>
      <c r="H9">
        <v>6</v>
      </c>
      <c r="I9">
        <v>4</v>
      </c>
      <c r="J9">
        <v>1</v>
      </c>
      <c r="K9">
        <v>1</v>
      </c>
    </row>
    <row r="10" spans="3:14">
      <c r="C10" s="1"/>
      <c r="D10" s="1"/>
      <c r="E10" s="1"/>
      <c r="F10" s="1"/>
      <c r="G10" t="s">
        <v>16</v>
      </c>
      <c r="H10">
        <v>0.78424242424242396</v>
      </c>
      <c r="I10">
        <f>I6</f>
        <v>0.78424242424242396</v>
      </c>
      <c r="J10">
        <v>50</v>
      </c>
      <c r="K10">
        <v>5</v>
      </c>
    </row>
    <row r="11" spans="3:14">
      <c r="C11" s="1"/>
      <c r="D11" s="1"/>
      <c r="E11" s="1"/>
      <c r="F11" s="1"/>
      <c r="G11" t="s">
        <v>17</v>
      </c>
      <c r="H11">
        <f t="shared" ref="H11" si="3">H9*H10</f>
        <v>4.7054545454545433</v>
      </c>
      <c r="I11">
        <f t="shared" ref="I11" si="4">I9*I10</f>
        <v>3.1369696969696959</v>
      </c>
      <c r="J11">
        <f t="shared" ref="J11:K11" si="5">J9*J10</f>
        <v>50</v>
      </c>
      <c r="K11">
        <f t="shared" si="5"/>
        <v>5</v>
      </c>
      <c r="L11">
        <f t="shared" ref="L11" si="6">L9*L10</f>
        <v>0</v>
      </c>
      <c r="M11">
        <f t="shared" ref="M11" si="7">M9*M10</f>
        <v>0</v>
      </c>
      <c r="N11">
        <f t="shared" ref="N11" si="8">N9*N10</f>
        <v>0</v>
      </c>
    </row>
    <row r="12" spans="3:14">
      <c r="C12" s="1" t="s">
        <v>19</v>
      </c>
      <c r="D12" s="1">
        <f t="shared" ref="D12" si="9">E12/F12</f>
        <v>4.6575961158471184</v>
      </c>
      <c r="E12" s="1">
        <v>300</v>
      </c>
      <c r="F12" s="1">
        <f t="shared" ref="F12" si="10">SUM(H15:V15)</f>
        <v>64.410909090909087</v>
      </c>
      <c r="G12" t="s">
        <v>9</v>
      </c>
      <c r="H12" t="s">
        <v>10</v>
      </c>
      <c r="I12" t="s">
        <v>11</v>
      </c>
      <c r="J12" t="s">
        <v>13</v>
      </c>
      <c r="K12" t="s">
        <v>14</v>
      </c>
    </row>
    <row r="13" spans="3:14">
      <c r="C13" s="1"/>
      <c r="D13" s="1"/>
      <c r="E13" s="1"/>
      <c r="F13" s="1"/>
      <c r="G13" t="s">
        <v>15</v>
      </c>
      <c r="H13">
        <v>8</v>
      </c>
      <c r="I13">
        <v>4</v>
      </c>
      <c r="J13">
        <v>1</v>
      </c>
      <c r="K13">
        <v>1</v>
      </c>
    </row>
    <row r="14" spans="3:14">
      <c r="C14" s="1"/>
      <c r="D14" s="1"/>
      <c r="E14" s="1"/>
      <c r="F14" s="1"/>
      <c r="G14" t="s">
        <v>16</v>
      </c>
      <c r="H14">
        <f>H10</f>
        <v>0.78424242424242396</v>
      </c>
      <c r="I14">
        <f>I6</f>
        <v>0.78424242424242396</v>
      </c>
      <c r="J14">
        <v>50</v>
      </c>
      <c r="K14">
        <v>5</v>
      </c>
    </row>
    <row r="15" spans="3:14">
      <c r="C15" s="1"/>
      <c r="D15" s="1"/>
      <c r="E15" s="1"/>
      <c r="F15" s="1"/>
      <c r="G15" t="s">
        <v>17</v>
      </c>
      <c r="H15">
        <f t="shared" ref="H15" si="11">H13*H14</f>
        <v>6.2739393939393917</v>
      </c>
      <c r="I15">
        <f t="shared" ref="I15" si="12">I13*I14</f>
        <v>3.1369696969696959</v>
      </c>
      <c r="J15">
        <f>J13*J14</f>
        <v>50</v>
      </c>
      <c r="K15">
        <f t="shared" ref="K15:L15" si="13">K13*K14</f>
        <v>5</v>
      </c>
      <c r="L15">
        <f t="shared" si="13"/>
        <v>0</v>
      </c>
      <c r="M15">
        <f t="shared" ref="M15" si="14">M13*M14</f>
        <v>0</v>
      </c>
      <c r="N15">
        <f t="shared" ref="N15" si="15">N13*N14</f>
        <v>0</v>
      </c>
    </row>
    <row r="16" spans="3:14">
      <c r="C16" s="1" t="s">
        <v>20</v>
      </c>
      <c r="D16" s="1">
        <f t="shared" ref="D16" si="16">E16/F16</f>
        <v>4.8282202156117329</v>
      </c>
      <c r="E16" s="1">
        <v>300</v>
      </c>
      <c r="F16" s="1">
        <f t="shared" ref="F16" si="17">SUM(H19:V19)</f>
        <v>62.134696969696968</v>
      </c>
      <c r="G16" t="s">
        <v>9</v>
      </c>
      <c r="H16" t="s">
        <v>10</v>
      </c>
      <c r="I16" t="s">
        <v>11</v>
      </c>
      <c r="J16" t="s">
        <v>13</v>
      </c>
      <c r="K16" t="s">
        <v>14</v>
      </c>
      <c r="L16" t="s">
        <v>21</v>
      </c>
      <c r="M16" t="s">
        <v>22</v>
      </c>
    </row>
    <row r="17" spans="3:14">
      <c r="C17" s="1"/>
      <c r="D17" s="1"/>
      <c r="E17" s="1"/>
      <c r="F17" s="1"/>
      <c r="G17" t="s">
        <v>15</v>
      </c>
      <c r="H17">
        <v>5</v>
      </c>
      <c r="I17">
        <v>2</v>
      </c>
      <c r="J17">
        <v>1</v>
      </c>
      <c r="K17">
        <v>1</v>
      </c>
      <c r="L17">
        <v>1</v>
      </c>
      <c r="M17">
        <v>1</v>
      </c>
    </row>
    <row r="18" spans="3:14">
      <c r="C18" s="1"/>
      <c r="D18" s="1"/>
      <c r="E18" s="1"/>
      <c r="F18" s="1"/>
      <c r="G18" t="s">
        <v>16</v>
      </c>
      <c r="H18">
        <f>H6</f>
        <v>0.78424242424242396</v>
      </c>
      <c r="I18">
        <f>I6</f>
        <v>0.78424242424242396</v>
      </c>
      <c r="J18">
        <v>50</v>
      </c>
      <c r="K18">
        <v>5</v>
      </c>
      <c r="L18">
        <v>0.14499999999999999</v>
      </c>
      <c r="M18">
        <v>1.5</v>
      </c>
    </row>
    <row r="19" spans="3:14">
      <c r="C19" s="1"/>
      <c r="D19" s="1"/>
      <c r="E19" s="1"/>
      <c r="F19" s="1"/>
      <c r="G19" t="s">
        <v>17</v>
      </c>
      <c r="H19">
        <f t="shared" ref="H19" si="18">H17*H18</f>
        <v>3.92121212121212</v>
      </c>
      <c r="I19">
        <f t="shared" ref="I19" si="19">I17*I18</f>
        <v>1.5684848484848479</v>
      </c>
      <c r="J19">
        <f t="shared" ref="J19" si="20">J17*J18</f>
        <v>50</v>
      </c>
      <c r="K19">
        <f t="shared" ref="K19:L19" si="21">K17*K18</f>
        <v>5</v>
      </c>
      <c r="L19">
        <f t="shared" si="21"/>
        <v>0.14499999999999999</v>
      </c>
      <c r="M19">
        <f t="shared" ref="M19" si="22">M17*M18</f>
        <v>1.5</v>
      </c>
      <c r="N19">
        <f t="shared" ref="N19" si="23">N17*N18</f>
        <v>0</v>
      </c>
    </row>
    <row r="20" spans="3:14">
      <c r="C20" s="1" t="s">
        <v>23</v>
      </c>
      <c r="D20" s="1">
        <f t="shared" ref="D20" si="24">E20/F20</f>
        <v>5</v>
      </c>
      <c r="E20" s="1">
        <v>1500</v>
      </c>
      <c r="F20" s="1">
        <v>300</v>
      </c>
      <c r="G20" t="s">
        <v>9</v>
      </c>
    </row>
    <row r="21" spans="3:14">
      <c r="C21" s="1"/>
      <c r="D21" s="1"/>
      <c r="E21" s="1"/>
      <c r="F21" s="1"/>
      <c r="G21" t="s">
        <v>15</v>
      </c>
    </row>
    <row r="22" spans="3:14">
      <c r="C22" s="1"/>
      <c r="D22" s="1"/>
      <c r="E22" s="1"/>
      <c r="F22" s="1"/>
      <c r="G22" t="s">
        <v>16</v>
      </c>
    </row>
    <row r="23" spans="3:14">
      <c r="C23" s="1"/>
      <c r="D23" s="1"/>
      <c r="E23" s="1"/>
      <c r="F23" s="1"/>
      <c r="G23" t="s">
        <v>17</v>
      </c>
    </row>
  </sheetData>
  <mergeCells count="21">
    <mergeCell ref="C8:C11"/>
    <mergeCell ref="D8:D11"/>
    <mergeCell ref="E8:E11"/>
    <mergeCell ref="F8:F11"/>
    <mergeCell ref="C12:C15"/>
    <mergeCell ref="D12:D15"/>
    <mergeCell ref="E12:E15"/>
    <mergeCell ref="F12:F15"/>
    <mergeCell ref="G2:H3"/>
    <mergeCell ref="F4:F7"/>
    <mergeCell ref="E4:E7"/>
    <mergeCell ref="D4:D7"/>
    <mergeCell ref="C4:C7"/>
    <mergeCell ref="C16:C19"/>
    <mergeCell ref="D16:D19"/>
    <mergeCell ref="E16:E19"/>
    <mergeCell ref="F16:F19"/>
    <mergeCell ref="C20:C23"/>
    <mergeCell ref="D20:D23"/>
    <mergeCell ref="E20:E23"/>
    <mergeCell ref="F20:F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S</dc:creator>
  <cp:keywords/>
  <dc:description/>
  <cp:lastModifiedBy>Alex Czernicki</cp:lastModifiedBy>
  <cp:revision/>
  <dcterms:created xsi:type="dcterms:W3CDTF">2025-06-01T22:15:14Z</dcterms:created>
  <dcterms:modified xsi:type="dcterms:W3CDTF">2026-05-08T21:46:53Z</dcterms:modified>
  <cp:category/>
  <cp:contentStatus/>
</cp:coreProperties>
</file>