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057c4830996b3d29/Studia/Melprop/RamP/RamP_electronics/"/>
    </mc:Choice>
  </mc:AlternateContent>
  <xr:revisionPtr revIDLastSave="380" documentId="8_{4894C66F-FEB0-467B-9EDF-8DB7FAE22A9A}" xr6:coauthVersionLast="47" xr6:coauthVersionMax="47" xr10:uidLastSave="{FF855ED0-F177-450E-9819-AC341E52F6F8}"/>
  <bookViews>
    <workbookView xWindow="-108" yWindow="-108" windowWidth="23256" windowHeight="12720" firstSheet="1" activeTab="1" xr2:uid="{49BCFEC6-E9E3-40F5-805A-5C4FDEB0A44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4" i="2"/>
  <c r="J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4" i="2"/>
  <c r="E10" i="2"/>
  <c r="F10" i="2" s="1"/>
  <c r="N8" i="2"/>
  <c r="E248" i="2" s="1"/>
  <c r="F248" i="2" s="1"/>
  <c r="N7" i="2"/>
  <c r="E275" i="2" s="1"/>
  <c r="F275" i="2" s="1"/>
  <c r="Q27" i="1"/>
  <c r="Q28" i="1"/>
  <c r="J44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27" i="1"/>
  <c r="E118" i="2" l="1"/>
  <c r="F118" i="2" s="1"/>
  <c r="E68" i="2"/>
  <c r="F68" i="2" s="1"/>
  <c r="E32" i="2"/>
  <c r="F32" i="2" s="1"/>
  <c r="E135" i="2"/>
  <c r="F135" i="2" s="1"/>
  <c r="E318" i="2"/>
  <c r="F318" i="2" s="1"/>
  <c r="E234" i="2"/>
  <c r="F234" i="2" s="1"/>
  <c r="E358" i="2"/>
  <c r="F358" i="2" s="1"/>
  <c r="E11" i="2"/>
  <c r="F11" i="2" s="1"/>
  <c r="E83" i="2"/>
  <c r="F83" i="2" s="1"/>
  <c r="E119" i="2"/>
  <c r="F119" i="2" s="1"/>
  <c r="E225" i="2"/>
  <c r="F225" i="2" s="1"/>
  <c r="E165" i="2"/>
  <c r="F165" i="2" s="1"/>
  <c r="E354" i="2"/>
  <c r="F354" i="2" s="1"/>
  <c r="E294" i="2"/>
  <c r="F294" i="2" s="1"/>
  <c r="E353" i="2"/>
  <c r="F353" i="2" s="1"/>
  <c r="E246" i="2"/>
  <c r="F246" i="2" s="1"/>
  <c r="E9" i="2"/>
  <c r="F9" i="2" s="1"/>
  <c r="E81" i="2"/>
  <c r="F81" i="2" s="1"/>
  <c r="E117" i="2"/>
  <c r="F117" i="2" s="1"/>
  <c r="E223" i="2"/>
  <c r="F223" i="2" s="1"/>
  <c r="E163" i="2"/>
  <c r="F163" i="2" s="1"/>
  <c r="E342" i="2"/>
  <c r="F342" i="2" s="1"/>
  <c r="E287" i="2"/>
  <c r="F287" i="2" s="1"/>
  <c r="E34" i="2"/>
  <c r="F34" i="2" s="1"/>
  <c r="E8" i="2"/>
  <c r="F8" i="2" s="1"/>
  <c r="E69" i="2"/>
  <c r="F69" i="2" s="1"/>
  <c r="E116" i="2"/>
  <c r="F116" i="2" s="1"/>
  <c r="E208" i="2"/>
  <c r="F208" i="2" s="1"/>
  <c r="E162" i="2"/>
  <c r="F162" i="2" s="1"/>
  <c r="E332" i="2"/>
  <c r="F332" i="2" s="1"/>
  <c r="E281" i="2"/>
  <c r="F281" i="2" s="1"/>
  <c r="E293" i="2"/>
  <c r="F293" i="2" s="1"/>
  <c r="E207" i="2"/>
  <c r="F207" i="2" s="1"/>
  <c r="E6" i="2"/>
  <c r="F6" i="2" s="1"/>
  <c r="E67" i="2"/>
  <c r="F67" i="2" s="1"/>
  <c r="E104" i="2"/>
  <c r="F104" i="2" s="1"/>
  <c r="E201" i="2"/>
  <c r="F201" i="2" s="1"/>
  <c r="E150" i="2"/>
  <c r="F150" i="2" s="1"/>
  <c r="E320" i="2"/>
  <c r="F320" i="2" s="1"/>
  <c r="E274" i="2"/>
  <c r="F274" i="2" s="1"/>
  <c r="E31" i="2"/>
  <c r="F31" i="2" s="1"/>
  <c r="E42" i="2"/>
  <c r="F42" i="2" s="1"/>
  <c r="E66" i="2"/>
  <c r="F66" i="2" s="1"/>
  <c r="E103" i="2"/>
  <c r="F103" i="2" s="1"/>
  <c r="E195" i="2"/>
  <c r="F195" i="2" s="1"/>
  <c r="E149" i="2"/>
  <c r="F149" i="2" s="1"/>
  <c r="E319" i="2"/>
  <c r="F319" i="2" s="1"/>
  <c r="E273" i="2"/>
  <c r="F273" i="2" s="1"/>
  <c r="E164" i="2"/>
  <c r="F164" i="2" s="1"/>
  <c r="E7" i="2"/>
  <c r="F7" i="2" s="1"/>
  <c r="E331" i="2"/>
  <c r="F331" i="2" s="1"/>
  <c r="E93" i="2"/>
  <c r="F93" i="2" s="1"/>
  <c r="E359" i="2"/>
  <c r="F359" i="2" s="1"/>
  <c r="E92" i="2"/>
  <c r="F92" i="2" s="1"/>
  <c r="E317" i="2"/>
  <c r="F317" i="2" s="1"/>
  <c r="E23" i="2"/>
  <c r="F23" i="2" s="1"/>
  <c r="E86" i="2"/>
  <c r="F86" i="2" s="1"/>
  <c r="E53" i="2"/>
  <c r="F53" i="2" s="1"/>
  <c r="E233" i="2"/>
  <c r="F233" i="2" s="1"/>
  <c r="E187" i="2"/>
  <c r="F187" i="2" s="1"/>
  <c r="E357" i="2"/>
  <c r="F357" i="2" s="1"/>
  <c r="E311" i="2"/>
  <c r="F311" i="2" s="1"/>
  <c r="E251" i="2"/>
  <c r="F251" i="2" s="1"/>
  <c r="E82" i="2"/>
  <c r="F82" i="2" s="1"/>
  <c r="E33" i="2"/>
  <c r="F33" i="2" s="1"/>
  <c r="E151" i="2"/>
  <c r="F151" i="2" s="1"/>
  <c r="E55" i="2"/>
  <c r="F55" i="2" s="1"/>
  <c r="E24" i="2"/>
  <c r="F24" i="2" s="1"/>
  <c r="E188" i="2"/>
  <c r="F188" i="2" s="1"/>
  <c r="E257" i="2"/>
  <c r="F257" i="2" s="1"/>
  <c r="E22" i="2"/>
  <c r="F22" i="2" s="1"/>
  <c r="E85" i="2"/>
  <c r="F85" i="2" s="1"/>
  <c r="E52" i="2"/>
  <c r="F52" i="2" s="1"/>
  <c r="E232" i="2"/>
  <c r="F232" i="2" s="1"/>
  <c r="E186" i="2"/>
  <c r="F186" i="2" s="1"/>
  <c r="E356" i="2"/>
  <c r="F356" i="2" s="1"/>
  <c r="E310" i="2"/>
  <c r="F310" i="2" s="1"/>
  <c r="E250" i="2"/>
  <c r="F250" i="2" s="1"/>
  <c r="E224" i="2"/>
  <c r="F224" i="2" s="1"/>
  <c r="E115" i="2"/>
  <c r="F115" i="2" s="1"/>
  <c r="E30" i="2"/>
  <c r="F30" i="2" s="1"/>
  <c r="E189" i="2"/>
  <c r="F189" i="2" s="1"/>
  <c r="E258" i="2"/>
  <c r="F258" i="2" s="1"/>
  <c r="E54" i="2"/>
  <c r="F54" i="2" s="1"/>
  <c r="E12" i="2"/>
  <c r="F12" i="2" s="1"/>
  <c r="E84" i="2"/>
  <c r="F84" i="2" s="1"/>
  <c r="E120" i="2"/>
  <c r="F120" i="2" s="1"/>
  <c r="E231" i="2"/>
  <c r="F231" i="2" s="1"/>
  <c r="E171" i="2"/>
  <c r="F171" i="2" s="1"/>
  <c r="E355" i="2"/>
  <c r="F355" i="2" s="1"/>
  <c r="E295" i="2"/>
  <c r="F295" i="2" s="1"/>
  <c r="E249" i="2"/>
  <c r="F249" i="2" s="1"/>
  <c r="B308" i="2"/>
  <c r="B19" i="2"/>
  <c r="E21" i="2"/>
  <c r="F21" i="2" s="1"/>
  <c r="E44" i="2"/>
  <c r="F44" i="2" s="1"/>
  <c r="E80" i="2"/>
  <c r="F80" i="2" s="1"/>
  <c r="E51" i="2"/>
  <c r="F51" i="2" s="1"/>
  <c r="E133" i="2"/>
  <c r="F133" i="2" s="1"/>
  <c r="E212" i="2"/>
  <c r="F212" i="2" s="1"/>
  <c r="E185" i="2"/>
  <c r="F185" i="2" s="1"/>
  <c r="E148" i="2"/>
  <c r="F148" i="2" s="1"/>
  <c r="E341" i="2"/>
  <c r="F341" i="2" s="1"/>
  <c r="E309" i="2"/>
  <c r="F309" i="2" s="1"/>
  <c r="E272" i="2"/>
  <c r="F272" i="2" s="1"/>
  <c r="A4" i="2"/>
  <c r="B350" i="2" s="1"/>
  <c r="E20" i="2"/>
  <c r="F20" i="2" s="1"/>
  <c r="E43" i="2"/>
  <c r="F43" i="2" s="1"/>
  <c r="E74" i="2"/>
  <c r="F74" i="2" s="1"/>
  <c r="E45" i="2"/>
  <c r="F45" i="2" s="1"/>
  <c r="E132" i="2"/>
  <c r="F132" i="2" s="1"/>
  <c r="E211" i="2"/>
  <c r="F211" i="2" s="1"/>
  <c r="E184" i="2"/>
  <c r="F184" i="2" s="1"/>
  <c r="E147" i="2"/>
  <c r="F147" i="2" s="1"/>
  <c r="E335" i="2"/>
  <c r="F335" i="2" s="1"/>
  <c r="E298" i="2"/>
  <c r="F298" i="2" s="1"/>
  <c r="E271" i="2"/>
  <c r="F271" i="2" s="1"/>
  <c r="E36" i="2"/>
  <c r="F36" i="2" s="1"/>
  <c r="E19" i="2"/>
  <c r="F19" i="2" s="1"/>
  <c r="E95" i="2"/>
  <c r="F95" i="2" s="1"/>
  <c r="E73" i="2"/>
  <c r="F73" i="2" s="1"/>
  <c r="E96" i="2"/>
  <c r="F96" i="2" s="1"/>
  <c r="E131" i="2"/>
  <c r="F131" i="2" s="1"/>
  <c r="E210" i="2"/>
  <c r="F210" i="2" s="1"/>
  <c r="E173" i="2"/>
  <c r="F173" i="2" s="1"/>
  <c r="E141" i="2"/>
  <c r="F141" i="2" s="1"/>
  <c r="E334" i="2"/>
  <c r="F334" i="2" s="1"/>
  <c r="E297" i="2"/>
  <c r="F297" i="2" s="1"/>
  <c r="E270" i="2"/>
  <c r="F270" i="2" s="1"/>
  <c r="E35" i="2"/>
  <c r="F35" i="2" s="1"/>
  <c r="E18" i="2"/>
  <c r="F18" i="2" s="1"/>
  <c r="E94" i="2"/>
  <c r="F94" i="2" s="1"/>
  <c r="E70" i="2"/>
  <c r="F70" i="2" s="1"/>
  <c r="E121" i="2"/>
  <c r="F121" i="2" s="1"/>
  <c r="E130" i="2"/>
  <c r="F130" i="2" s="1"/>
  <c r="E209" i="2"/>
  <c r="F209" i="2" s="1"/>
  <c r="E172" i="2"/>
  <c r="F172" i="2" s="1"/>
  <c r="E140" i="2"/>
  <c r="F140" i="2" s="1"/>
  <c r="E333" i="2"/>
  <c r="F333" i="2" s="1"/>
  <c r="E296" i="2"/>
  <c r="F296" i="2" s="1"/>
  <c r="E259" i="2"/>
  <c r="F259" i="2" s="1"/>
  <c r="E29" i="2"/>
  <c r="F29" i="2" s="1"/>
  <c r="E17" i="2"/>
  <c r="F17" i="2" s="1"/>
  <c r="E5" i="2"/>
  <c r="F5" i="2" s="1"/>
  <c r="E91" i="2"/>
  <c r="F91" i="2" s="1"/>
  <c r="E79" i="2"/>
  <c r="F79" i="2" s="1"/>
  <c r="E65" i="2"/>
  <c r="F65" i="2" s="1"/>
  <c r="E98" i="2"/>
  <c r="F98" i="2" s="1"/>
  <c r="E109" i="2"/>
  <c r="F109" i="2" s="1"/>
  <c r="E244" i="2"/>
  <c r="F244" i="2" s="1"/>
  <c r="E222" i="2"/>
  <c r="F222" i="2" s="1"/>
  <c r="E200" i="2"/>
  <c r="F200" i="2" s="1"/>
  <c r="E183" i="2"/>
  <c r="F183" i="2" s="1"/>
  <c r="E161" i="2"/>
  <c r="F161" i="2" s="1"/>
  <c r="E139" i="2"/>
  <c r="F139" i="2" s="1"/>
  <c r="E347" i="2"/>
  <c r="F347" i="2" s="1"/>
  <c r="E330" i="2"/>
  <c r="F330" i="2" s="1"/>
  <c r="E308" i="2"/>
  <c r="F308" i="2" s="1"/>
  <c r="E286" i="2"/>
  <c r="F286" i="2" s="1"/>
  <c r="E269" i="2"/>
  <c r="F269" i="2" s="1"/>
  <c r="E247" i="2"/>
  <c r="F247" i="2" s="1"/>
  <c r="E28" i="2"/>
  <c r="F28" i="2" s="1"/>
  <c r="E16" i="2"/>
  <c r="F16" i="2" s="1"/>
  <c r="E38" i="2"/>
  <c r="F38" i="2" s="1"/>
  <c r="E90" i="2"/>
  <c r="F90" i="2" s="1"/>
  <c r="E78" i="2"/>
  <c r="F78" i="2" s="1"/>
  <c r="E64" i="2"/>
  <c r="F64" i="2" s="1"/>
  <c r="E97" i="2"/>
  <c r="F97" i="2" s="1"/>
  <c r="E108" i="2"/>
  <c r="F108" i="2" s="1"/>
  <c r="E243" i="2"/>
  <c r="F243" i="2" s="1"/>
  <c r="E221" i="2"/>
  <c r="F221" i="2" s="1"/>
  <c r="E199" i="2"/>
  <c r="F199" i="2" s="1"/>
  <c r="E177" i="2"/>
  <c r="F177" i="2" s="1"/>
  <c r="E160" i="2"/>
  <c r="F160" i="2" s="1"/>
  <c r="E138" i="2"/>
  <c r="F138" i="2" s="1"/>
  <c r="E346" i="2"/>
  <c r="F346" i="2" s="1"/>
  <c r="E329" i="2"/>
  <c r="F329" i="2" s="1"/>
  <c r="E307" i="2"/>
  <c r="F307" i="2" s="1"/>
  <c r="E285" i="2"/>
  <c r="F285" i="2" s="1"/>
  <c r="E263" i="2"/>
  <c r="F263" i="2" s="1"/>
  <c r="E252" i="2"/>
  <c r="F252" i="2" s="1"/>
  <c r="E264" i="2"/>
  <c r="F264" i="2" s="1"/>
  <c r="E276" i="2"/>
  <c r="F276" i="2" s="1"/>
  <c r="E288" i="2"/>
  <c r="F288" i="2" s="1"/>
  <c r="E300" i="2"/>
  <c r="F300" i="2" s="1"/>
  <c r="E312" i="2"/>
  <c r="F312" i="2" s="1"/>
  <c r="E324" i="2"/>
  <c r="F324" i="2" s="1"/>
  <c r="E336" i="2"/>
  <c r="F336" i="2" s="1"/>
  <c r="E348" i="2"/>
  <c r="F348" i="2" s="1"/>
  <c r="E360" i="2"/>
  <c r="F360" i="2" s="1"/>
  <c r="E142" i="2"/>
  <c r="F142" i="2" s="1"/>
  <c r="E154" i="2"/>
  <c r="F154" i="2" s="1"/>
  <c r="E166" i="2"/>
  <c r="F166" i="2" s="1"/>
  <c r="E178" i="2"/>
  <c r="F178" i="2" s="1"/>
  <c r="E190" i="2"/>
  <c r="F190" i="2" s="1"/>
  <c r="E202" i="2"/>
  <c r="F202" i="2" s="1"/>
  <c r="E214" i="2"/>
  <c r="F214" i="2" s="1"/>
  <c r="E226" i="2"/>
  <c r="F226" i="2" s="1"/>
  <c r="E238" i="2"/>
  <c r="F238" i="2" s="1"/>
  <c r="E134" i="2"/>
  <c r="F134" i="2" s="1"/>
  <c r="E110" i="2"/>
  <c r="F110" i="2" s="1"/>
  <c r="E122" i="2"/>
  <c r="F122" i="2" s="1"/>
  <c r="E46" i="2"/>
  <c r="F46" i="2" s="1"/>
  <c r="E58" i="2"/>
  <c r="F58" i="2" s="1"/>
  <c r="E253" i="2"/>
  <c r="F253" i="2" s="1"/>
  <c r="E265" i="2"/>
  <c r="F265" i="2" s="1"/>
  <c r="E277" i="2"/>
  <c r="F277" i="2" s="1"/>
  <c r="E289" i="2"/>
  <c r="F289" i="2" s="1"/>
  <c r="E301" i="2"/>
  <c r="F301" i="2" s="1"/>
  <c r="E313" i="2"/>
  <c r="F313" i="2" s="1"/>
  <c r="E325" i="2"/>
  <c r="F325" i="2" s="1"/>
  <c r="E337" i="2"/>
  <c r="F337" i="2" s="1"/>
  <c r="E349" i="2"/>
  <c r="F349" i="2" s="1"/>
  <c r="E361" i="2"/>
  <c r="F361" i="2" s="1"/>
  <c r="E143" i="2"/>
  <c r="F143" i="2" s="1"/>
  <c r="E155" i="2"/>
  <c r="F155" i="2" s="1"/>
  <c r="E167" i="2"/>
  <c r="F167" i="2" s="1"/>
  <c r="E179" i="2"/>
  <c r="F179" i="2" s="1"/>
  <c r="E191" i="2"/>
  <c r="F191" i="2" s="1"/>
  <c r="E203" i="2"/>
  <c r="F203" i="2" s="1"/>
  <c r="E215" i="2"/>
  <c r="F215" i="2" s="1"/>
  <c r="E227" i="2"/>
  <c r="F227" i="2" s="1"/>
  <c r="E239" i="2"/>
  <c r="F239" i="2" s="1"/>
  <c r="E129" i="2"/>
  <c r="F129" i="2" s="1"/>
  <c r="E111" i="2"/>
  <c r="F111" i="2" s="1"/>
  <c r="E123" i="2"/>
  <c r="F123" i="2" s="1"/>
  <c r="E47" i="2"/>
  <c r="F47" i="2" s="1"/>
  <c r="E59" i="2"/>
  <c r="F59" i="2" s="1"/>
  <c r="E71" i="2"/>
  <c r="F71" i="2" s="1"/>
  <c r="E254" i="2"/>
  <c r="F254" i="2" s="1"/>
  <c r="E266" i="2"/>
  <c r="F266" i="2" s="1"/>
  <c r="E278" i="2"/>
  <c r="F278" i="2" s="1"/>
  <c r="E290" i="2"/>
  <c r="F290" i="2" s="1"/>
  <c r="E302" i="2"/>
  <c r="F302" i="2" s="1"/>
  <c r="E314" i="2"/>
  <c r="F314" i="2" s="1"/>
  <c r="E326" i="2"/>
  <c r="F326" i="2" s="1"/>
  <c r="E338" i="2"/>
  <c r="F338" i="2" s="1"/>
  <c r="E350" i="2"/>
  <c r="F350" i="2" s="1"/>
  <c r="E362" i="2"/>
  <c r="F362" i="2" s="1"/>
  <c r="E144" i="2"/>
  <c r="F144" i="2" s="1"/>
  <c r="E156" i="2"/>
  <c r="F156" i="2" s="1"/>
  <c r="E168" i="2"/>
  <c r="F168" i="2" s="1"/>
  <c r="E180" i="2"/>
  <c r="F180" i="2" s="1"/>
  <c r="E192" i="2"/>
  <c r="F192" i="2" s="1"/>
  <c r="E204" i="2"/>
  <c r="F204" i="2" s="1"/>
  <c r="E216" i="2"/>
  <c r="F216" i="2" s="1"/>
  <c r="E228" i="2"/>
  <c r="F228" i="2" s="1"/>
  <c r="E240" i="2"/>
  <c r="F240" i="2" s="1"/>
  <c r="E100" i="2"/>
  <c r="F100" i="2" s="1"/>
  <c r="E112" i="2"/>
  <c r="F112" i="2" s="1"/>
  <c r="E124" i="2"/>
  <c r="F124" i="2" s="1"/>
  <c r="E48" i="2"/>
  <c r="F48" i="2" s="1"/>
  <c r="E60" i="2"/>
  <c r="F60" i="2" s="1"/>
  <c r="E72" i="2"/>
  <c r="F72" i="2" s="1"/>
  <c r="E255" i="2"/>
  <c r="F255" i="2" s="1"/>
  <c r="E267" i="2"/>
  <c r="F267" i="2" s="1"/>
  <c r="E279" i="2"/>
  <c r="F279" i="2" s="1"/>
  <c r="E291" i="2"/>
  <c r="F291" i="2" s="1"/>
  <c r="E303" i="2"/>
  <c r="F303" i="2" s="1"/>
  <c r="E315" i="2"/>
  <c r="F315" i="2" s="1"/>
  <c r="E327" i="2"/>
  <c r="F327" i="2" s="1"/>
  <c r="E339" i="2"/>
  <c r="F339" i="2" s="1"/>
  <c r="E351" i="2"/>
  <c r="F351" i="2" s="1"/>
  <c r="E363" i="2"/>
  <c r="F363" i="2" s="1"/>
  <c r="E145" i="2"/>
  <c r="F145" i="2" s="1"/>
  <c r="E157" i="2"/>
  <c r="F157" i="2" s="1"/>
  <c r="E169" i="2"/>
  <c r="F169" i="2" s="1"/>
  <c r="E181" i="2"/>
  <c r="F181" i="2" s="1"/>
  <c r="E193" i="2"/>
  <c r="F193" i="2" s="1"/>
  <c r="E205" i="2"/>
  <c r="F205" i="2" s="1"/>
  <c r="E217" i="2"/>
  <c r="F217" i="2" s="1"/>
  <c r="E229" i="2"/>
  <c r="F229" i="2" s="1"/>
  <c r="E241" i="2"/>
  <c r="F241" i="2" s="1"/>
  <c r="E101" i="2"/>
  <c r="F101" i="2" s="1"/>
  <c r="E113" i="2"/>
  <c r="F113" i="2" s="1"/>
  <c r="E125" i="2"/>
  <c r="F125" i="2" s="1"/>
  <c r="E49" i="2"/>
  <c r="F49" i="2" s="1"/>
  <c r="E61" i="2"/>
  <c r="F61" i="2" s="1"/>
  <c r="E256" i="2"/>
  <c r="F256" i="2" s="1"/>
  <c r="E268" i="2"/>
  <c r="F268" i="2" s="1"/>
  <c r="E280" i="2"/>
  <c r="F280" i="2" s="1"/>
  <c r="E292" i="2"/>
  <c r="F292" i="2" s="1"/>
  <c r="E304" i="2"/>
  <c r="F304" i="2" s="1"/>
  <c r="E316" i="2"/>
  <c r="F316" i="2" s="1"/>
  <c r="E328" i="2"/>
  <c r="F328" i="2" s="1"/>
  <c r="E340" i="2"/>
  <c r="F340" i="2" s="1"/>
  <c r="E352" i="2"/>
  <c r="F352" i="2" s="1"/>
  <c r="E364" i="2"/>
  <c r="F364" i="2" s="1"/>
  <c r="E146" i="2"/>
  <c r="F146" i="2" s="1"/>
  <c r="E158" i="2"/>
  <c r="F158" i="2" s="1"/>
  <c r="E170" i="2"/>
  <c r="F170" i="2" s="1"/>
  <c r="E182" i="2"/>
  <c r="F182" i="2" s="1"/>
  <c r="E194" i="2"/>
  <c r="F194" i="2" s="1"/>
  <c r="E206" i="2"/>
  <c r="F206" i="2" s="1"/>
  <c r="E218" i="2"/>
  <c r="F218" i="2" s="1"/>
  <c r="E230" i="2"/>
  <c r="F230" i="2" s="1"/>
  <c r="E242" i="2"/>
  <c r="F242" i="2" s="1"/>
  <c r="E102" i="2"/>
  <c r="F102" i="2" s="1"/>
  <c r="E114" i="2"/>
  <c r="F114" i="2" s="1"/>
  <c r="E126" i="2"/>
  <c r="F126" i="2" s="1"/>
  <c r="E50" i="2"/>
  <c r="F50" i="2" s="1"/>
  <c r="E62" i="2"/>
  <c r="F62" i="2" s="1"/>
  <c r="E27" i="2"/>
  <c r="F27" i="2" s="1"/>
  <c r="E15" i="2"/>
  <c r="F15" i="2" s="1"/>
  <c r="E40" i="2"/>
  <c r="F40" i="2" s="1"/>
  <c r="E89" i="2"/>
  <c r="F89" i="2" s="1"/>
  <c r="E77" i="2"/>
  <c r="F77" i="2" s="1"/>
  <c r="E63" i="2"/>
  <c r="F63" i="2" s="1"/>
  <c r="E99" i="2"/>
  <c r="F99" i="2" s="1"/>
  <c r="E107" i="2"/>
  <c r="F107" i="2" s="1"/>
  <c r="E237" i="2"/>
  <c r="F237" i="2" s="1"/>
  <c r="E220" i="2"/>
  <c r="F220" i="2" s="1"/>
  <c r="E198" i="2"/>
  <c r="F198" i="2" s="1"/>
  <c r="E176" i="2"/>
  <c r="F176" i="2" s="1"/>
  <c r="E159" i="2"/>
  <c r="F159" i="2" s="1"/>
  <c r="E137" i="2"/>
  <c r="F137" i="2" s="1"/>
  <c r="E345" i="2"/>
  <c r="F345" i="2" s="1"/>
  <c r="E323" i="2"/>
  <c r="F323" i="2" s="1"/>
  <c r="E306" i="2"/>
  <c r="F306" i="2" s="1"/>
  <c r="E284" i="2"/>
  <c r="F284" i="2" s="1"/>
  <c r="E262" i="2"/>
  <c r="F262" i="2" s="1"/>
  <c r="E245" i="2"/>
  <c r="F245" i="2" s="1"/>
  <c r="E4" i="2"/>
  <c r="E26" i="2"/>
  <c r="F26" i="2" s="1"/>
  <c r="E14" i="2"/>
  <c r="F14" i="2" s="1"/>
  <c r="E39" i="2"/>
  <c r="F39" i="2" s="1"/>
  <c r="E88" i="2"/>
  <c r="F88" i="2" s="1"/>
  <c r="E76" i="2"/>
  <c r="F76" i="2" s="1"/>
  <c r="E57" i="2"/>
  <c r="F57" i="2" s="1"/>
  <c r="E128" i="2"/>
  <c r="F128" i="2" s="1"/>
  <c r="E106" i="2"/>
  <c r="F106" i="2" s="1"/>
  <c r="E236" i="2"/>
  <c r="F236" i="2" s="1"/>
  <c r="E219" i="2"/>
  <c r="F219" i="2" s="1"/>
  <c r="E197" i="2"/>
  <c r="F197" i="2" s="1"/>
  <c r="E175" i="2"/>
  <c r="F175" i="2" s="1"/>
  <c r="E153" i="2"/>
  <c r="F153" i="2" s="1"/>
  <c r="E136" i="2"/>
  <c r="F136" i="2" s="1"/>
  <c r="E344" i="2"/>
  <c r="F344" i="2" s="1"/>
  <c r="E322" i="2"/>
  <c r="F322" i="2" s="1"/>
  <c r="E305" i="2"/>
  <c r="F305" i="2" s="1"/>
  <c r="E283" i="2"/>
  <c r="F283" i="2" s="1"/>
  <c r="E261" i="2"/>
  <c r="F261" i="2" s="1"/>
  <c r="E37" i="2"/>
  <c r="F37" i="2" s="1"/>
  <c r="E25" i="2"/>
  <c r="F25" i="2" s="1"/>
  <c r="E13" i="2"/>
  <c r="F13" i="2" s="1"/>
  <c r="E41" i="2"/>
  <c r="F41" i="2" s="1"/>
  <c r="E87" i="2"/>
  <c r="F87" i="2" s="1"/>
  <c r="E75" i="2"/>
  <c r="F75" i="2" s="1"/>
  <c r="E56" i="2"/>
  <c r="F56" i="2" s="1"/>
  <c r="E127" i="2"/>
  <c r="F127" i="2" s="1"/>
  <c r="E105" i="2"/>
  <c r="F105" i="2" s="1"/>
  <c r="E235" i="2"/>
  <c r="F235" i="2" s="1"/>
  <c r="E213" i="2"/>
  <c r="F213" i="2" s="1"/>
  <c r="E196" i="2"/>
  <c r="F196" i="2" s="1"/>
  <c r="E174" i="2"/>
  <c r="F174" i="2" s="1"/>
  <c r="E152" i="2"/>
  <c r="F152" i="2" s="1"/>
  <c r="E365" i="2"/>
  <c r="F365" i="2" s="1"/>
  <c r="E343" i="2"/>
  <c r="F343" i="2" s="1"/>
  <c r="E321" i="2"/>
  <c r="F321" i="2" s="1"/>
  <c r="E299" i="2"/>
  <c r="F299" i="2" s="1"/>
  <c r="E282" i="2"/>
  <c r="F282" i="2" s="1"/>
  <c r="E260" i="2"/>
  <c r="F260" i="2" s="1"/>
  <c r="F4" i="2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H27" i="1"/>
  <c r="Q34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C27" i="1"/>
  <c r="D27" i="1"/>
  <c r="B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F27" i="1"/>
  <c r="G27" i="1"/>
  <c r="E27" i="1"/>
  <c r="B360" i="2" l="1"/>
  <c r="B10" i="2"/>
  <c r="B79" i="2"/>
  <c r="B271" i="2"/>
  <c r="B253" i="2"/>
  <c r="B80" i="2"/>
  <c r="B332" i="2"/>
  <c r="B329" i="2"/>
  <c r="B189" i="2"/>
  <c r="B48" i="2"/>
  <c r="B22" i="2"/>
  <c r="B286" i="2"/>
  <c r="B157" i="2"/>
  <c r="B11" i="2"/>
  <c r="B228" i="2"/>
  <c r="B122" i="2"/>
  <c r="B86" i="2"/>
  <c r="B91" i="2"/>
  <c r="B283" i="2"/>
  <c r="B325" i="2"/>
  <c r="B140" i="2"/>
  <c r="B344" i="2"/>
  <c r="B365" i="2"/>
  <c r="B201" i="2"/>
  <c r="B132" i="2"/>
  <c r="B34" i="2"/>
  <c r="B298" i="2"/>
  <c r="B41" i="2"/>
  <c r="B23" i="2"/>
  <c r="B288" i="2"/>
  <c r="B254" i="2"/>
  <c r="B182" i="2"/>
  <c r="B247" i="2"/>
  <c r="B354" i="2"/>
  <c r="B114" i="2"/>
  <c r="B193" i="2"/>
  <c r="B49" i="2"/>
  <c r="B227" i="2"/>
  <c r="B310" i="2"/>
  <c r="B115" i="2"/>
  <c r="B156" i="2"/>
  <c r="B149" i="2"/>
  <c r="B127" i="2"/>
  <c r="B203" i="2"/>
  <c r="B161" i="2"/>
  <c r="B176" i="2"/>
  <c r="B216" i="2"/>
  <c r="B270" i="2"/>
  <c r="B237" i="2"/>
  <c r="B217" i="2"/>
  <c r="B130" i="2"/>
  <c r="B334" i="2"/>
  <c r="B197" i="2"/>
  <c r="B119" i="2"/>
  <c r="B181" i="2"/>
  <c r="B110" i="2"/>
  <c r="B44" i="2"/>
  <c r="B214" i="2"/>
  <c r="B361" i="2"/>
  <c r="B56" i="2"/>
  <c r="B103" i="2"/>
  <c r="B54" i="2"/>
  <c r="B89" i="2"/>
  <c r="B101" i="2"/>
  <c r="B145" i="2"/>
  <c r="B322" i="2"/>
  <c r="B349" i="2"/>
  <c r="B139" i="2"/>
  <c r="B287" i="2"/>
  <c r="B281" i="2"/>
  <c r="B188" i="2"/>
  <c r="B276" i="2"/>
  <c r="B45" i="2"/>
  <c r="B249" i="2"/>
  <c r="B53" i="2"/>
  <c r="B142" i="2"/>
  <c r="B358" i="2"/>
  <c r="B257" i="2"/>
  <c r="B131" i="2"/>
  <c r="B185" i="2"/>
  <c r="B158" i="2"/>
  <c r="B264" i="2"/>
  <c r="B215" i="2"/>
  <c r="B120" i="2"/>
  <c r="B259" i="2"/>
  <c r="B320" i="2"/>
  <c r="B274" i="2"/>
  <c r="B246" i="2"/>
  <c r="B29" i="2"/>
  <c r="B85" i="2"/>
  <c r="B324" i="2"/>
  <c r="B138" i="2"/>
  <c r="B163" i="2"/>
  <c r="B359" i="2"/>
  <c r="B318" i="2"/>
  <c r="B200" i="2"/>
  <c r="B348" i="2"/>
  <c r="B57" i="2"/>
  <c r="B273" i="2"/>
  <c r="B113" i="2"/>
  <c r="B154" i="2"/>
  <c r="B108" i="2"/>
  <c r="B293" i="2"/>
  <c r="B143" i="2"/>
  <c r="B233" i="2"/>
  <c r="B266" i="2"/>
  <c r="B105" i="2"/>
  <c r="B269" i="2"/>
  <c r="B342" i="2"/>
  <c r="B38" i="2"/>
  <c r="B307" i="2"/>
  <c r="B213" i="2"/>
  <c r="B47" i="2"/>
  <c r="B314" i="2"/>
  <c r="B164" i="2"/>
  <c r="B70" i="2"/>
  <c r="B107" i="2"/>
  <c r="B175" i="2"/>
  <c r="B24" i="2"/>
  <c r="B8" i="2"/>
  <c r="B224" i="2"/>
  <c r="B37" i="2"/>
  <c r="B69" i="2"/>
  <c r="B333" i="2"/>
  <c r="B173" i="2"/>
  <c r="B166" i="2"/>
  <c r="B180" i="2"/>
  <c r="B6" i="2"/>
  <c r="B155" i="2"/>
  <c r="B305" i="2"/>
  <c r="B218" i="2"/>
  <c r="B209" i="2"/>
  <c r="B282" i="2"/>
  <c r="B31" i="2"/>
  <c r="B129" i="2"/>
  <c r="B168" i="2"/>
  <c r="B152" i="2"/>
  <c r="B319" i="2"/>
  <c r="B225" i="2"/>
  <c r="B61" i="2"/>
  <c r="B223" i="2"/>
  <c r="B72" i="2"/>
  <c r="B20" i="2"/>
  <c r="B284" i="2"/>
  <c r="B97" i="2"/>
  <c r="B81" i="2"/>
  <c r="B345" i="2"/>
  <c r="B317" i="2"/>
  <c r="B178" i="2"/>
  <c r="B240" i="2"/>
  <c r="B198" i="2"/>
  <c r="B167" i="2"/>
  <c r="B18" i="2"/>
  <c r="B278" i="2"/>
  <c r="B311" i="2"/>
  <c r="B46" i="2"/>
  <c r="B235" i="2"/>
  <c r="B144" i="2"/>
  <c r="B32" i="2"/>
  <c r="B296" i="2"/>
  <c r="B229" i="2"/>
  <c r="B93" i="2"/>
  <c r="B357" i="2"/>
  <c r="B294" i="2"/>
  <c r="B190" i="2"/>
  <c r="B300" i="2"/>
  <c r="B234" i="2"/>
  <c r="B239" i="2"/>
  <c r="B66" i="2"/>
  <c r="B292" i="2"/>
  <c r="B339" i="2"/>
  <c r="B28" i="2"/>
  <c r="B268" i="2"/>
  <c r="B231" i="2"/>
  <c r="B40" i="2"/>
  <c r="B279" i="2"/>
  <c r="B363" i="2"/>
  <c r="B194" i="2"/>
  <c r="B195" i="2"/>
  <c r="B244" i="2"/>
  <c r="B15" i="2"/>
  <c r="B63" i="2"/>
  <c r="B111" i="2"/>
  <c r="B159" i="2"/>
  <c r="B207" i="2"/>
  <c r="B255" i="2"/>
  <c r="B340" i="2"/>
  <c r="B172" i="2"/>
  <c r="B87" i="2"/>
  <c r="B232" i="2"/>
  <c r="B50" i="2"/>
  <c r="B280" i="2"/>
  <c r="B51" i="2"/>
  <c r="B290" i="2"/>
  <c r="B148" i="2"/>
  <c r="B16" i="2"/>
  <c r="B64" i="2"/>
  <c r="B112" i="2"/>
  <c r="B160" i="2"/>
  <c r="B208" i="2"/>
  <c r="B256" i="2"/>
  <c r="B303" i="2"/>
  <c r="B76" i="2"/>
  <c r="B352" i="2"/>
  <c r="B316" i="2"/>
  <c r="B135" i="2"/>
  <c r="B136" i="2"/>
  <c r="B98" i="2"/>
  <c r="B328" i="2"/>
  <c r="B99" i="2"/>
  <c r="B337" i="2"/>
  <c r="B196" i="2"/>
  <c r="B304" i="2"/>
  <c r="B124" i="2"/>
  <c r="B315" i="2"/>
  <c r="B183" i="2"/>
  <c r="B88" i="2"/>
  <c r="B327" i="2"/>
  <c r="B242" i="2"/>
  <c r="B147" i="2"/>
  <c r="B100" i="2"/>
  <c r="B27" i="2"/>
  <c r="B75" i="2"/>
  <c r="B123" i="2"/>
  <c r="B171" i="2"/>
  <c r="B219" i="2"/>
  <c r="B267" i="2"/>
  <c r="B351" i="2"/>
  <c r="B220" i="2"/>
  <c r="B39" i="2"/>
  <c r="B184" i="2"/>
  <c r="B146" i="2"/>
  <c r="B364" i="2"/>
  <c r="B243" i="2"/>
  <c r="B52" i="2"/>
  <c r="B291" i="2"/>
  <c r="B338" i="2"/>
  <c r="B7" i="2"/>
  <c r="B151" i="2"/>
  <c r="B295" i="2"/>
  <c r="B204" i="2"/>
  <c r="B221" i="2"/>
  <c r="B68" i="2"/>
  <c r="B212" i="2"/>
  <c r="B356" i="2"/>
  <c r="B169" i="2"/>
  <c r="B210" i="2"/>
  <c r="B117" i="2"/>
  <c r="B261" i="2"/>
  <c r="B96" i="2"/>
  <c r="B245" i="2"/>
  <c r="B58" i="2"/>
  <c r="B202" i="2"/>
  <c r="B346" i="2"/>
  <c r="B109" i="2"/>
  <c r="B341" i="2"/>
  <c r="B35" i="2"/>
  <c r="B179" i="2"/>
  <c r="B121" i="2"/>
  <c r="B186" i="2"/>
  <c r="B206" i="2"/>
  <c r="B134" i="2"/>
  <c r="B336" i="2"/>
  <c r="B353" i="2"/>
  <c r="B92" i="2"/>
  <c r="B236" i="2"/>
  <c r="B299" i="2"/>
  <c r="B289" i="2"/>
  <c r="B330" i="2"/>
  <c r="B141" i="2"/>
  <c r="B285" i="2"/>
  <c r="B192" i="2"/>
  <c r="B42" i="2"/>
  <c r="B82" i="2"/>
  <c r="B226" i="2"/>
  <c r="B191" i="2"/>
  <c r="B205" i="2"/>
  <c r="B30" i="2"/>
  <c r="B59" i="2"/>
  <c r="B251" i="2"/>
  <c r="B241" i="2"/>
  <c r="B306" i="2"/>
  <c r="B326" i="2"/>
  <c r="B230" i="2"/>
  <c r="B43" i="2"/>
  <c r="B187" i="2"/>
  <c r="B331" i="2"/>
  <c r="B13" i="2"/>
  <c r="B90" i="2"/>
  <c r="B104" i="2"/>
  <c r="B248" i="2"/>
  <c r="B347" i="2"/>
  <c r="B17" i="2"/>
  <c r="B9" i="2"/>
  <c r="B153" i="2"/>
  <c r="B297" i="2"/>
  <c r="B252" i="2"/>
  <c r="B102" i="2"/>
  <c r="B94" i="2"/>
  <c r="B238" i="2"/>
  <c r="B275" i="2"/>
  <c r="B265" i="2"/>
  <c r="B78" i="2"/>
  <c r="B71" i="2"/>
  <c r="B263" i="2"/>
  <c r="B301" i="2"/>
  <c r="B4" i="2"/>
  <c r="B14" i="2"/>
  <c r="B302" i="2"/>
  <c r="B55" i="2"/>
  <c r="B199" i="2"/>
  <c r="B343" i="2"/>
  <c r="B73" i="2"/>
  <c r="B174" i="2"/>
  <c r="B116" i="2"/>
  <c r="B260" i="2"/>
  <c r="B12" i="2"/>
  <c r="B77" i="2"/>
  <c r="B21" i="2"/>
  <c r="B165" i="2"/>
  <c r="B309" i="2"/>
  <c r="B312" i="2"/>
  <c r="B162" i="2"/>
  <c r="B106" i="2"/>
  <c r="B250" i="2"/>
  <c r="B335" i="2"/>
  <c r="B313" i="2"/>
  <c r="B126" i="2"/>
  <c r="B83" i="2"/>
  <c r="B323" i="2"/>
  <c r="B65" i="2"/>
  <c r="B26" i="2"/>
  <c r="B74" i="2"/>
  <c r="B362" i="2"/>
  <c r="B67" i="2"/>
  <c r="B211" i="2"/>
  <c r="B355" i="2"/>
  <c r="B133" i="2"/>
  <c r="B258" i="2"/>
  <c r="B128" i="2"/>
  <c r="B272" i="2"/>
  <c r="B84" i="2"/>
  <c r="B137" i="2"/>
  <c r="B33" i="2"/>
  <c r="B177" i="2"/>
  <c r="B321" i="2"/>
  <c r="B25" i="2"/>
  <c r="B222" i="2"/>
  <c r="B118" i="2"/>
  <c r="B262" i="2"/>
  <c r="B36" i="2"/>
  <c r="B5" i="2"/>
  <c r="B150" i="2"/>
  <c r="B95" i="2"/>
  <c r="B60" i="2"/>
  <c r="B125" i="2"/>
  <c r="B62" i="2"/>
  <c r="B170" i="2"/>
  <c r="B277" i="2"/>
  <c r="G217" i="2"/>
  <c r="I4" i="2"/>
  <c r="G228" i="2" s="1"/>
  <c r="G4" i="2" l="1"/>
  <c r="G174" i="2"/>
  <c r="G323" i="2"/>
  <c r="G206" i="2"/>
  <c r="G245" i="2"/>
  <c r="G158" i="2"/>
  <c r="G137" i="2"/>
  <c r="G109" i="2"/>
  <c r="G60" i="2"/>
  <c r="G347" i="2"/>
  <c r="G29" i="2"/>
  <c r="G190" i="2"/>
  <c r="G41" i="2"/>
  <c r="G284" i="2"/>
  <c r="G90" i="2"/>
  <c r="G215" i="2"/>
  <c r="G111" i="2"/>
  <c r="G280" i="2"/>
  <c r="G338" i="2"/>
  <c r="G160" i="2"/>
  <c r="G97" i="2"/>
  <c r="G192" i="2"/>
  <c r="G47" i="2"/>
  <c r="G305" i="2"/>
  <c r="G126" i="2"/>
  <c r="G261" i="2"/>
  <c r="G276" i="2"/>
  <c r="G128" i="2"/>
  <c r="G105" i="2"/>
  <c r="G108" i="2"/>
  <c r="G110" i="2"/>
  <c r="G138" i="2"/>
  <c r="G344" i="2"/>
  <c r="G125" i="2"/>
  <c r="G299" i="2"/>
  <c r="G304" i="2"/>
  <c r="G182" i="2"/>
  <c r="G336" i="2"/>
  <c r="G260" i="2"/>
  <c r="G330" i="2"/>
  <c r="G170" i="2"/>
  <c r="G253" i="2"/>
  <c r="G204" i="2"/>
  <c r="G25" i="2"/>
  <c r="G247" i="2"/>
  <c r="G315" i="2"/>
  <c r="G283" i="2"/>
  <c r="G169" i="2"/>
  <c r="G265" i="2"/>
  <c r="G349" i="2"/>
  <c r="G46" i="2"/>
  <c r="G143" i="2"/>
  <c r="G203" i="2"/>
  <c r="G139" i="2"/>
  <c r="G236" i="2"/>
  <c r="G339" i="2"/>
  <c r="G101" i="2"/>
  <c r="G89" i="2"/>
  <c r="G13" i="2"/>
  <c r="G134" i="2"/>
  <c r="G75" i="2"/>
  <c r="G167" i="2"/>
  <c r="G345" i="2"/>
  <c r="G87" i="2"/>
  <c r="G348" i="2"/>
  <c r="G48" i="2"/>
  <c r="G142" i="2"/>
  <c r="G65" i="2"/>
  <c r="G157" i="2"/>
  <c r="G288" i="2"/>
  <c r="G364" i="2"/>
  <c r="G100" i="2"/>
  <c r="G362" i="2"/>
  <c r="G180" i="2"/>
  <c r="G216" i="2"/>
  <c r="G196" i="2"/>
  <c r="G107" i="2"/>
  <c r="G302" i="2"/>
  <c r="G340" i="2"/>
  <c r="G5" i="2"/>
  <c r="G199" i="2"/>
  <c r="G316" i="2"/>
  <c r="G202" i="2"/>
  <c r="G71" i="2"/>
  <c r="G38" i="2"/>
  <c r="G37" i="2"/>
  <c r="G145" i="2"/>
  <c r="G266" i="2"/>
  <c r="G322" i="2"/>
  <c r="G256" i="2"/>
  <c r="G363" i="2"/>
  <c r="G39" i="2"/>
  <c r="G239" i="2"/>
  <c r="G286" i="2"/>
  <c r="G14" i="2"/>
  <c r="G263" i="2"/>
  <c r="G220" i="2"/>
  <c r="G197" i="2"/>
  <c r="G312" i="2"/>
  <c r="G219" i="2"/>
  <c r="G205" i="2"/>
  <c r="G102" i="2"/>
  <c r="G325" i="2"/>
  <c r="G254" i="2"/>
  <c r="G213" i="2"/>
  <c r="G267" i="2"/>
  <c r="G156" i="2"/>
  <c r="G227" i="2"/>
  <c r="G181" i="2"/>
  <c r="G238" i="2"/>
  <c r="G360" i="2"/>
  <c r="G152" i="2"/>
  <c r="G56" i="2"/>
  <c r="G91" i="2"/>
  <c r="G124" i="2"/>
  <c r="G177" i="2"/>
  <c r="G313" i="2"/>
  <c r="G243" i="2"/>
  <c r="G175" i="2"/>
  <c r="G301" i="2"/>
  <c r="G240" i="2"/>
  <c r="G49" i="2"/>
  <c r="G27" i="2"/>
  <c r="G324" i="2"/>
  <c r="G365" i="2"/>
  <c r="G122" i="2"/>
  <c r="G291" i="2"/>
  <c r="G63" i="2"/>
  <c r="G146" i="2"/>
  <c r="G28" i="2"/>
  <c r="G96" i="2"/>
  <c r="G287" i="2"/>
  <c r="G21" i="2"/>
  <c r="G82" i="2"/>
  <c r="G132" i="2"/>
  <c r="G270" i="2"/>
  <c r="G318" i="2"/>
  <c r="G331" i="2"/>
  <c r="G317" i="2"/>
  <c r="G120" i="2"/>
  <c r="G53" i="2"/>
  <c r="G257" i="2"/>
  <c r="G22" i="2"/>
  <c r="G172" i="2"/>
  <c r="G341" i="2"/>
  <c r="G208" i="2"/>
  <c r="G332" i="2"/>
  <c r="G293" i="2"/>
  <c r="G70" i="2"/>
  <c r="G320" i="2"/>
  <c r="G6" i="2"/>
  <c r="G83" i="2"/>
  <c r="G115" i="2"/>
  <c r="G118" i="2"/>
  <c r="G104" i="2"/>
  <c r="G135" i="2"/>
  <c r="G133" i="2"/>
  <c r="G298" i="2"/>
  <c r="G195" i="2"/>
  <c r="G171" i="2"/>
  <c r="G19" i="2"/>
  <c r="G355" i="2"/>
  <c r="G210" i="2"/>
  <c r="G209" i="2"/>
  <c r="G281" i="2"/>
  <c r="G233" i="2"/>
  <c r="G275" i="2"/>
  <c r="G359" i="2"/>
  <c r="G150" i="2"/>
  <c r="G357" i="2"/>
  <c r="G42" i="2"/>
  <c r="G224" i="2"/>
  <c r="G309" i="2"/>
  <c r="G335" i="2"/>
  <c r="G86" i="2"/>
  <c r="G36" i="2"/>
  <c r="G296" i="2"/>
  <c r="G23" i="2"/>
  <c r="G185" i="2"/>
  <c r="G54" i="2"/>
  <c r="G35" i="2"/>
  <c r="G189" i="2"/>
  <c r="G353" i="2"/>
  <c r="G11" i="2"/>
  <c r="G225" i="2"/>
  <c r="G93" i="2"/>
  <c r="G249" i="2"/>
  <c r="G251" i="2"/>
  <c r="G248" i="2"/>
  <c r="G140" i="2"/>
  <c r="G274" i="2"/>
  <c r="G116" i="2"/>
  <c r="G52" i="2"/>
  <c r="G12" i="2"/>
  <c r="G272" i="2"/>
  <c r="G147" i="2"/>
  <c r="G184" i="2"/>
  <c r="G55" i="2"/>
  <c r="G310" i="2"/>
  <c r="G24" i="2"/>
  <c r="G67" i="2"/>
  <c r="G73" i="2"/>
  <c r="G8" i="2"/>
  <c r="G34" i="2"/>
  <c r="G51" i="2"/>
  <c r="G188" i="2"/>
  <c r="G223" i="2"/>
  <c r="G212" i="2"/>
  <c r="G246" i="2"/>
  <c r="G69" i="2"/>
  <c r="G68" i="2"/>
  <c r="G297" i="2"/>
  <c r="G94" i="2"/>
  <c r="G258" i="2"/>
  <c r="G103" i="2"/>
  <c r="G66" i="2"/>
  <c r="G81" i="2"/>
  <c r="G33" i="2"/>
  <c r="G80" i="2"/>
  <c r="G85" i="2"/>
  <c r="G149" i="2"/>
  <c r="G295" i="2"/>
  <c r="G7" i="2"/>
  <c r="G162" i="2"/>
  <c r="G32" i="2"/>
  <c r="G358" i="2"/>
  <c r="G173" i="2"/>
  <c r="G294" i="2"/>
  <c r="G234" i="2"/>
  <c r="G117" i="2"/>
  <c r="G273" i="2"/>
  <c r="G10" i="2"/>
  <c r="G232" i="2"/>
  <c r="G130" i="2"/>
  <c r="G164" i="2"/>
  <c r="G231" i="2"/>
  <c r="G187" i="2"/>
  <c r="G151" i="2"/>
  <c r="G354" i="2"/>
  <c r="G74" i="2"/>
  <c r="G259" i="2"/>
  <c r="G165" i="2"/>
  <c r="G211" i="2"/>
  <c r="G319" i="2"/>
  <c r="G45" i="2"/>
  <c r="G119" i="2"/>
  <c r="G271" i="2"/>
  <c r="G356" i="2"/>
  <c r="G342" i="2"/>
  <c r="G92" i="2"/>
  <c r="G163" i="2"/>
  <c r="G30" i="2"/>
  <c r="G131" i="2"/>
  <c r="G250" i="2"/>
  <c r="G207" i="2"/>
  <c r="G18" i="2"/>
  <c r="G84" i="2"/>
  <c r="G186" i="2"/>
  <c r="G9" i="2"/>
  <c r="G121" i="2"/>
  <c r="G44" i="2"/>
  <c r="G334" i="2"/>
  <c r="G43" i="2"/>
  <c r="G31" i="2"/>
  <c r="G141" i="2"/>
  <c r="G20" i="2"/>
  <c r="G333" i="2"/>
  <c r="G95" i="2"/>
  <c r="G201" i="2"/>
  <c r="G311" i="2"/>
  <c r="G148" i="2"/>
  <c r="G303" i="2"/>
  <c r="G16" i="2"/>
  <c r="G255" i="2"/>
  <c r="G178" i="2"/>
  <c r="G159" i="2"/>
  <c r="G76" i="2"/>
  <c r="G244" i="2"/>
  <c r="G50" i="2"/>
  <c r="G278" i="2"/>
  <c r="G306" i="2"/>
  <c r="G327" i="2"/>
  <c r="G222" i="2"/>
  <c r="G337" i="2"/>
  <c r="G193" i="2"/>
  <c r="G179" i="2"/>
  <c r="G361" i="2"/>
  <c r="G113" i="2"/>
  <c r="G58" i="2"/>
  <c r="G61" i="2"/>
  <c r="G123" i="2"/>
  <c r="G72" i="2"/>
  <c r="G194" i="2"/>
  <c r="G106" i="2"/>
  <c r="G352" i="2"/>
  <c r="G183" i="2"/>
  <c r="G329" i="2"/>
  <c r="G155" i="2"/>
  <c r="G176" i="2"/>
  <c r="G17" i="2"/>
  <c r="G221" i="2"/>
  <c r="G198" i="2"/>
  <c r="G15" i="2"/>
  <c r="G307" i="2"/>
  <c r="G241" i="2"/>
  <c r="G343" i="2"/>
  <c r="G154" i="2"/>
  <c r="G79" i="2"/>
  <c r="G161" i="2"/>
  <c r="G290" i="2"/>
  <c r="G57" i="2"/>
  <c r="G308" i="2"/>
  <c r="G214" i="2"/>
  <c r="G136" i="2"/>
  <c r="G350" i="2"/>
  <c r="G127" i="2"/>
  <c r="G114" i="2"/>
  <c r="G289" i="2"/>
  <c r="G314" i="2"/>
  <c r="G59" i="2"/>
  <c r="G200" i="2"/>
  <c r="G226" i="2"/>
  <c r="G252" i="2"/>
  <c r="G26" i="2"/>
  <c r="G282" i="2"/>
  <c r="G326" i="2"/>
  <c r="G88" i="2"/>
  <c r="G351" i="2"/>
  <c r="G264" i="2"/>
  <c r="G328" i="2"/>
  <c r="G77" i="2"/>
  <c r="G229" i="2"/>
  <c r="G168" i="2"/>
  <c r="G242" i="2"/>
  <c r="G235" i="2"/>
  <c r="G64" i="2"/>
  <c r="G99" i="2"/>
  <c r="G279" i="2"/>
  <c r="G78" i="2"/>
  <c r="G62" i="2"/>
  <c r="G98" i="2"/>
  <c r="G285" i="2"/>
  <c r="G262" i="2"/>
  <c r="G277" i="2"/>
  <c r="G40" i="2"/>
  <c r="G129" i="2"/>
  <c r="G112" i="2"/>
  <c r="G321" i="2"/>
  <c r="G346" i="2"/>
  <c r="G269" i="2"/>
  <c r="G237" i="2"/>
  <c r="G268" i="2"/>
  <c r="G218" i="2"/>
  <c r="G144" i="2"/>
  <c r="G191" i="2"/>
  <c r="G292" i="2"/>
  <c r="G166" i="2"/>
  <c r="G153" i="2"/>
  <c r="G300" i="2"/>
  <c r="G230" i="2"/>
</calcChain>
</file>

<file path=xl/sharedStrings.xml><?xml version="1.0" encoding="utf-8"?>
<sst xmlns="http://schemas.openxmlformats.org/spreadsheetml/2006/main" count="56" uniqueCount="40">
  <si>
    <t>p</t>
  </si>
  <si>
    <t>t</t>
  </si>
  <si>
    <t>p1</t>
  </si>
  <si>
    <t>p2</t>
  </si>
  <si>
    <t>p3</t>
  </si>
  <si>
    <t>p4</t>
  </si>
  <si>
    <t>p5</t>
  </si>
  <si>
    <t>t1</t>
  </si>
  <si>
    <t>t2</t>
  </si>
  <si>
    <t>t3</t>
  </si>
  <si>
    <t>t4</t>
  </si>
  <si>
    <t>t5</t>
  </si>
  <si>
    <t>No.</t>
  </si>
  <si>
    <t>[bar]</t>
  </si>
  <si>
    <t>[degC]</t>
  </si>
  <si>
    <t>[counts]</t>
  </si>
  <si>
    <t>Pressure</t>
  </si>
  <si>
    <t>outputmax [counts]</t>
  </si>
  <si>
    <t>outputmin [counts]</t>
  </si>
  <si>
    <t>pmin</t>
  </si>
  <si>
    <t>pmax</t>
  </si>
  <si>
    <t>Temperature</t>
  </si>
  <si>
    <t>tmin</t>
  </si>
  <si>
    <t>tmax</t>
  </si>
  <si>
    <t>error [%]</t>
  </si>
  <si>
    <t>percentage of 2^24</t>
  </si>
  <si>
    <t>counts</t>
  </si>
  <si>
    <t>pressure [Pa]</t>
  </si>
  <si>
    <t>altitude [m]</t>
  </si>
  <si>
    <t>height [cm]</t>
  </si>
  <si>
    <t>error [Pa]</t>
  </si>
  <si>
    <t>reference heght</t>
  </si>
  <si>
    <t>reference pressure</t>
  </si>
  <si>
    <t>g</t>
  </si>
  <si>
    <t>M</t>
  </si>
  <si>
    <t>hb</t>
  </si>
  <si>
    <t>R</t>
  </si>
  <si>
    <t>Tb</t>
  </si>
  <si>
    <t>Lb</t>
  </si>
  <si>
    <t>presssure at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</si>
</sst>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pressure vs temperature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4</c:v>
          </c:tx>
          <c:spPr>
            <a:ln w="38100">
              <a:noFill/>
            </a:ln>
          </c:spPr>
          <c:marker>
            <c:symbol val="x"/>
            <c:size val="9"/>
          </c:marker>
          <c:xVal>
            <c:numRef>
              <c:f>Sheet1!$M$6:$M$23</c:f>
              <c:numCache>
                <c:formatCode>General</c:formatCode>
                <c:ptCount val="18"/>
                <c:pt idx="0">
                  <c:v>6439592</c:v>
                </c:pt>
                <c:pt idx="1">
                  <c:v>6425460</c:v>
                </c:pt>
                <c:pt idx="2">
                  <c:v>6399339</c:v>
                </c:pt>
                <c:pt idx="3">
                  <c:v>6389105</c:v>
                </c:pt>
                <c:pt idx="4">
                  <c:v>6351385</c:v>
                </c:pt>
                <c:pt idx="5">
                  <c:v>6355092</c:v>
                </c:pt>
                <c:pt idx="6">
                  <c:v>6362537</c:v>
                </c:pt>
                <c:pt idx="7">
                  <c:v>6362989</c:v>
                </c:pt>
                <c:pt idx="8">
                  <c:v>6651245</c:v>
                </c:pt>
                <c:pt idx="9">
                  <c:v>6790930</c:v>
                </c:pt>
                <c:pt idx="10">
                  <c:v>6904369</c:v>
                </c:pt>
                <c:pt idx="11">
                  <c:v>6963234</c:v>
                </c:pt>
                <c:pt idx="12">
                  <c:v>7039192</c:v>
                </c:pt>
                <c:pt idx="13">
                  <c:v>8193941</c:v>
                </c:pt>
                <c:pt idx="14">
                  <c:v>8392855</c:v>
                </c:pt>
                <c:pt idx="15">
                  <c:v>8530562</c:v>
                </c:pt>
                <c:pt idx="16">
                  <c:v>8576620</c:v>
                </c:pt>
                <c:pt idx="17">
                  <c:v>8582316</c:v>
                </c:pt>
              </c:numCache>
            </c:numRef>
          </c:xVal>
          <c:yVal>
            <c:numRef>
              <c:f>Sheet1!$H$6:$H$23</c:f>
              <c:numCache>
                <c:formatCode>General</c:formatCode>
                <c:ptCount val="18"/>
                <c:pt idx="0">
                  <c:v>2858623</c:v>
                </c:pt>
                <c:pt idx="1">
                  <c:v>4122966</c:v>
                </c:pt>
                <c:pt idx="2">
                  <c:v>5549952</c:v>
                </c:pt>
                <c:pt idx="3">
                  <c:v>6742652</c:v>
                </c:pt>
                <c:pt idx="4">
                  <c:v>5482290</c:v>
                </c:pt>
                <c:pt idx="5">
                  <c:v>4129464</c:v>
                </c:pt>
                <c:pt idx="6">
                  <c:v>2877361</c:v>
                </c:pt>
                <c:pt idx="7">
                  <c:v>1718532</c:v>
                </c:pt>
                <c:pt idx="8">
                  <c:v>1717044</c:v>
                </c:pt>
                <c:pt idx="9">
                  <c:v>2855580</c:v>
                </c:pt>
                <c:pt idx="10">
                  <c:v>4246727</c:v>
                </c:pt>
                <c:pt idx="11">
                  <c:v>5572587</c:v>
                </c:pt>
                <c:pt idx="12">
                  <c:v>6743217</c:v>
                </c:pt>
                <c:pt idx="13">
                  <c:v>1719038</c:v>
                </c:pt>
                <c:pt idx="14">
                  <c:v>2871650</c:v>
                </c:pt>
                <c:pt idx="15">
                  <c:v>4202783</c:v>
                </c:pt>
                <c:pt idx="16">
                  <c:v>5546166</c:v>
                </c:pt>
                <c:pt idx="17">
                  <c:v>6761295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8-477D-836B-B52474A20199}"/>
            </c:ext>
          </c:extLst>
        </c:ser>
        <c:ser>
          <c:idx val="3"/>
          <c:order val="1"/>
          <c:tx>
            <c:v>3</c:v>
          </c:tx>
          <c:spPr>
            <a:ln w="38100">
              <a:noFill/>
            </a:ln>
          </c:spPr>
          <c:marker>
            <c:symbol val="x"/>
            <c:size val="9"/>
            <c:spPr>
              <a:ln>
                <a:solidFill>
                  <a:srgbClr val="FF0000"/>
                </a:solidFill>
              </a:ln>
            </c:spPr>
          </c:marker>
          <c:xVal>
            <c:numRef>
              <c:f>Sheet1!$L$6:$L$23</c:f>
              <c:numCache>
                <c:formatCode>General</c:formatCode>
                <c:ptCount val="18"/>
                <c:pt idx="0">
                  <c:v>6062449</c:v>
                </c:pt>
                <c:pt idx="1">
                  <c:v>6005602</c:v>
                </c:pt>
                <c:pt idx="2">
                  <c:v>5892094</c:v>
                </c:pt>
                <c:pt idx="3">
                  <c:v>5854157</c:v>
                </c:pt>
                <c:pt idx="4">
                  <c:v>5820723</c:v>
                </c:pt>
                <c:pt idx="5">
                  <c:v>5825148</c:v>
                </c:pt>
                <c:pt idx="6">
                  <c:v>5858720</c:v>
                </c:pt>
                <c:pt idx="7">
                  <c:v>5879714</c:v>
                </c:pt>
                <c:pt idx="8">
                  <c:v>6233483</c:v>
                </c:pt>
                <c:pt idx="9">
                  <c:v>6339667</c:v>
                </c:pt>
                <c:pt idx="10">
                  <c:v>6398635</c:v>
                </c:pt>
                <c:pt idx="11">
                  <c:v>6389615</c:v>
                </c:pt>
                <c:pt idx="12">
                  <c:v>6310766</c:v>
                </c:pt>
                <c:pt idx="13">
                  <c:v>7946586</c:v>
                </c:pt>
                <c:pt idx="14">
                  <c:v>8023716</c:v>
                </c:pt>
                <c:pt idx="15">
                  <c:v>7918842</c:v>
                </c:pt>
                <c:pt idx="16">
                  <c:v>7763326</c:v>
                </c:pt>
                <c:pt idx="17">
                  <c:v>7456932</c:v>
                </c:pt>
              </c:numCache>
            </c:numRef>
          </c:xVal>
          <c:yVal>
            <c:numRef>
              <c:f>Sheet1!$G$6:$G$23</c:f>
              <c:numCache>
                <c:formatCode>General</c:formatCode>
                <c:ptCount val="18"/>
                <c:pt idx="0">
                  <c:v>2861821</c:v>
                </c:pt>
                <c:pt idx="1">
                  <c:v>4127124</c:v>
                </c:pt>
                <c:pt idx="2">
                  <c:v>5555604</c:v>
                </c:pt>
                <c:pt idx="3">
                  <c:v>6748371</c:v>
                </c:pt>
                <c:pt idx="4">
                  <c:v>5488118</c:v>
                </c:pt>
                <c:pt idx="5">
                  <c:v>4134974</c:v>
                </c:pt>
                <c:pt idx="6">
                  <c:v>2882107</c:v>
                </c:pt>
                <c:pt idx="7">
                  <c:v>1722232</c:v>
                </c:pt>
                <c:pt idx="8">
                  <c:v>1719345</c:v>
                </c:pt>
                <c:pt idx="9">
                  <c:v>2858410</c:v>
                </c:pt>
                <c:pt idx="10">
                  <c:v>4250391</c:v>
                </c:pt>
                <c:pt idx="11">
                  <c:v>5577306</c:v>
                </c:pt>
                <c:pt idx="12">
                  <c:v>6748973</c:v>
                </c:pt>
                <c:pt idx="13">
                  <c:v>1716041</c:v>
                </c:pt>
                <c:pt idx="14">
                  <c:v>2868595</c:v>
                </c:pt>
                <c:pt idx="15">
                  <c:v>4199341</c:v>
                </c:pt>
                <c:pt idx="16">
                  <c:v>5542238</c:v>
                </c:pt>
                <c:pt idx="17">
                  <c:v>6759352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8-477D-836B-B52474A20199}"/>
            </c:ext>
          </c:extLst>
        </c:ser>
        <c:ser>
          <c:idx val="1"/>
          <c:order val="2"/>
          <c:tx>
            <c:v>2</c:v>
          </c:tx>
          <c:spPr>
            <a:ln w="38100">
              <a:noFill/>
            </a:ln>
          </c:spPr>
          <c:marker>
            <c:symbol val="x"/>
            <c:size val="9"/>
          </c:marker>
          <c:xVal>
            <c:numRef>
              <c:f>Sheet1!$K$6:$K$23</c:f>
              <c:numCache>
                <c:formatCode>General</c:formatCode>
                <c:ptCount val="18"/>
                <c:pt idx="0">
                  <c:v>6194944</c:v>
                </c:pt>
                <c:pt idx="1">
                  <c:v>6146750</c:v>
                </c:pt>
                <c:pt idx="2">
                  <c:v>6040888</c:v>
                </c:pt>
                <c:pt idx="3">
                  <c:v>5997523</c:v>
                </c:pt>
                <c:pt idx="4">
                  <c:v>5972118</c:v>
                </c:pt>
                <c:pt idx="5">
                  <c:v>5965250</c:v>
                </c:pt>
                <c:pt idx="6">
                  <c:v>6004915</c:v>
                </c:pt>
                <c:pt idx="7">
                  <c:v>6025621</c:v>
                </c:pt>
                <c:pt idx="8">
                  <c:v>6320790</c:v>
                </c:pt>
                <c:pt idx="9">
                  <c:v>6413956</c:v>
                </c:pt>
                <c:pt idx="10">
                  <c:v>6470465</c:v>
                </c:pt>
                <c:pt idx="11">
                  <c:v>6461588</c:v>
                </c:pt>
                <c:pt idx="12">
                  <c:v>6405430</c:v>
                </c:pt>
                <c:pt idx="13">
                  <c:v>7952226</c:v>
                </c:pt>
                <c:pt idx="14">
                  <c:v>8002123</c:v>
                </c:pt>
                <c:pt idx="15">
                  <c:v>7921998</c:v>
                </c:pt>
                <c:pt idx="16">
                  <c:v>7765019</c:v>
                </c:pt>
                <c:pt idx="17">
                  <c:v>7560122</c:v>
                </c:pt>
              </c:numCache>
            </c:numRef>
          </c:xVal>
          <c:yVal>
            <c:numRef>
              <c:f>Sheet1!$F$6:$F$23</c:f>
              <c:numCache>
                <c:formatCode>General</c:formatCode>
                <c:ptCount val="18"/>
                <c:pt idx="0">
                  <c:v>2865630</c:v>
                </c:pt>
                <c:pt idx="1">
                  <c:v>4130761</c:v>
                </c:pt>
                <c:pt idx="2">
                  <c:v>5558612</c:v>
                </c:pt>
                <c:pt idx="3">
                  <c:v>6751429</c:v>
                </c:pt>
                <c:pt idx="4">
                  <c:v>5491023</c:v>
                </c:pt>
                <c:pt idx="5">
                  <c:v>4138311</c:v>
                </c:pt>
                <c:pt idx="6">
                  <c:v>2885563</c:v>
                </c:pt>
                <c:pt idx="7">
                  <c:v>1726016</c:v>
                </c:pt>
                <c:pt idx="8">
                  <c:v>1723585</c:v>
                </c:pt>
                <c:pt idx="9">
                  <c:v>2862470</c:v>
                </c:pt>
                <c:pt idx="10">
                  <c:v>4254293</c:v>
                </c:pt>
                <c:pt idx="11">
                  <c:v>5581626</c:v>
                </c:pt>
                <c:pt idx="12">
                  <c:v>6752597</c:v>
                </c:pt>
                <c:pt idx="13">
                  <c:v>1720832</c:v>
                </c:pt>
                <c:pt idx="14">
                  <c:v>2873410</c:v>
                </c:pt>
                <c:pt idx="15">
                  <c:v>4204442</c:v>
                </c:pt>
                <c:pt idx="16">
                  <c:v>5549453</c:v>
                </c:pt>
                <c:pt idx="17">
                  <c:v>6765658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8-477D-836B-B52474A20199}"/>
            </c:ext>
          </c:extLst>
        </c:ser>
        <c:ser>
          <c:idx val="0"/>
          <c:order val="3"/>
          <c:tx>
            <c:v>1</c:v>
          </c:tx>
          <c:spPr>
            <a:ln w="38100">
              <a:noFill/>
            </a:ln>
          </c:spPr>
          <c:marker>
            <c:symbol val="x"/>
            <c:size val="9"/>
          </c:marker>
          <c:xVal>
            <c:numRef>
              <c:f>Sheet1!$J$6:$J$23</c:f>
              <c:numCache>
                <c:formatCode>General</c:formatCode>
                <c:ptCount val="18"/>
                <c:pt idx="0">
                  <c:v>6080992</c:v>
                </c:pt>
                <c:pt idx="1">
                  <c:v>6008327</c:v>
                </c:pt>
                <c:pt idx="2">
                  <c:v>5930111</c:v>
                </c:pt>
                <c:pt idx="3">
                  <c:v>5875641</c:v>
                </c:pt>
                <c:pt idx="4">
                  <c:v>5841848</c:v>
                </c:pt>
                <c:pt idx="5">
                  <c:v>5832039</c:v>
                </c:pt>
                <c:pt idx="6">
                  <c:v>5871319</c:v>
                </c:pt>
                <c:pt idx="7">
                  <c:v>5891753</c:v>
                </c:pt>
                <c:pt idx="8">
                  <c:v>6168533</c:v>
                </c:pt>
                <c:pt idx="9">
                  <c:v>6254304</c:v>
                </c:pt>
                <c:pt idx="10">
                  <c:v>6319013</c:v>
                </c:pt>
                <c:pt idx="11">
                  <c:v>6310411</c:v>
                </c:pt>
                <c:pt idx="12">
                  <c:v>6292735</c:v>
                </c:pt>
                <c:pt idx="13">
                  <c:v>7810883</c:v>
                </c:pt>
                <c:pt idx="14">
                  <c:v>7861666</c:v>
                </c:pt>
                <c:pt idx="15">
                  <c:v>7831934</c:v>
                </c:pt>
                <c:pt idx="16">
                  <c:v>7705713</c:v>
                </c:pt>
                <c:pt idx="17">
                  <c:v>7527323</c:v>
                </c:pt>
              </c:numCache>
            </c:numRef>
          </c:xVal>
          <c:yVal>
            <c:numRef>
              <c:f>Sheet1!$E$6:$E$23</c:f>
              <c:numCache>
                <c:formatCode>General</c:formatCode>
                <c:ptCount val="18"/>
                <c:pt idx="0">
                  <c:v>2869841</c:v>
                </c:pt>
                <c:pt idx="1">
                  <c:v>4134885</c:v>
                </c:pt>
                <c:pt idx="2">
                  <c:v>5562458</c:v>
                </c:pt>
                <c:pt idx="3">
                  <c:v>6755333</c:v>
                </c:pt>
                <c:pt idx="4">
                  <c:v>5494788</c:v>
                </c:pt>
                <c:pt idx="5">
                  <c:v>4142038</c:v>
                </c:pt>
                <c:pt idx="6">
                  <c:v>2889743</c:v>
                </c:pt>
                <c:pt idx="7">
                  <c:v>1730734</c:v>
                </c:pt>
                <c:pt idx="8">
                  <c:v>1728538</c:v>
                </c:pt>
                <c:pt idx="9">
                  <c:v>2867001</c:v>
                </c:pt>
                <c:pt idx="10">
                  <c:v>4258021</c:v>
                </c:pt>
                <c:pt idx="11">
                  <c:v>5585378</c:v>
                </c:pt>
                <c:pt idx="12">
                  <c:v>6757090</c:v>
                </c:pt>
                <c:pt idx="13">
                  <c:v>1724154</c:v>
                </c:pt>
                <c:pt idx="14">
                  <c:v>2876447</c:v>
                </c:pt>
                <c:pt idx="15">
                  <c:v>4207156</c:v>
                </c:pt>
                <c:pt idx="16">
                  <c:v>5551303</c:v>
                </c:pt>
                <c:pt idx="17">
                  <c:v>6771218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8-477D-836B-B52474A20199}"/>
            </c:ext>
          </c:extLst>
        </c:ser>
        <c:ser>
          <c:idx val="4"/>
          <c:order val="4"/>
          <c:tx>
            <c:v>5</c:v>
          </c:tx>
          <c:spPr>
            <a:ln w="38100">
              <a:noFill/>
            </a:ln>
          </c:spPr>
          <c:marker>
            <c:symbol val="x"/>
            <c:size val="9"/>
          </c:marker>
          <c:xVal>
            <c:numRef>
              <c:f>Sheet1!$N$6:$N$23</c:f>
              <c:numCache>
                <c:formatCode>General</c:formatCode>
                <c:ptCount val="18"/>
                <c:pt idx="0">
                  <c:v>6278702</c:v>
                </c:pt>
                <c:pt idx="1">
                  <c:v>6245450</c:v>
                </c:pt>
                <c:pt idx="2">
                  <c:v>6209602</c:v>
                </c:pt>
                <c:pt idx="3">
                  <c:v>6203172</c:v>
                </c:pt>
                <c:pt idx="4">
                  <c:v>6198136</c:v>
                </c:pt>
                <c:pt idx="5">
                  <c:v>6195151</c:v>
                </c:pt>
                <c:pt idx="6">
                  <c:v>6198485</c:v>
                </c:pt>
                <c:pt idx="7">
                  <c:v>6197660</c:v>
                </c:pt>
                <c:pt idx="8">
                  <c:v>6429999</c:v>
                </c:pt>
                <c:pt idx="9">
                  <c:v>6574699</c:v>
                </c:pt>
                <c:pt idx="10">
                  <c:v>6707740</c:v>
                </c:pt>
                <c:pt idx="11">
                  <c:v>6785876</c:v>
                </c:pt>
                <c:pt idx="12">
                  <c:v>6836055</c:v>
                </c:pt>
                <c:pt idx="13">
                  <c:v>7972939</c:v>
                </c:pt>
                <c:pt idx="14">
                  <c:v>8116880</c:v>
                </c:pt>
                <c:pt idx="15">
                  <c:v>8207179</c:v>
                </c:pt>
                <c:pt idx="16">
                  <c:v>8331154</c:v>
                </c:pt>
                <c:pt idx="17">
                  <c:v>8433447</c:v>
                </c:pt>
              </c:numCache>
            </c:numRef>
          </c:xVal>
          <c:yVal>
            <c:numRef>
              <c:f>Sheet1!$I$6:$I$23</c:f>
              <c:numCache>
                <c:formatCode>General</c:formatCode>
                <c:ptCount val="18"/>
                <c:pt idx="0">
                  <c:v>2862871</c:v>
                </c:pt>
                <c:pt idx="1">
                  <c:v>4127344</c:v>
                </c:pt>
                <c:pt idx="2">
                  <c:v>5553978</c:v>
                </c:pt>
                <c:pt idx="3">
                  <c:v>6746303</c:v>
                </c:pt>
                <c:pt idx="4">
                  <c:v>5486003</c:v>
                </c:pt>
                <c:pt idx="5">
                  <c:v>4133513</c:v>
                </c:pt>
                <c:pt idx="6">
                  <c:v>2881777</c:v>
                </c:pt>
                <c:pt idx="7">
                  <c:v>1722808</c:v>
                </c:pt>
                <c:pt idx="8">
                  <c:v>1721481</c:v>
                </c:pt>
                <c:pt idx="9">
                  <c:v>2859620</c:v>
                </c:pt>
                <c:pt idx="10">
                  <c:v>4250587</c:v>
                </c:pt>
                <c:pt idx="11">
                  <c:v>5576556</c:v>
                </c:pt>
                <c:pt idx="12">
                  <c:v>6746697</c:v>
                </c:pt>
                <c:pt idx="13">
                  <c:v>1720241</c:v>
                </c:pt>
                <c:pt idx="14">
                  <c:v>2872396</c:v>
                </c:pt>
                <c:pt idx="15">
                  <c:v>4202862</c:v>
                </c:pt>
                <c:pt idx="16">
                  <c:v>5546741</c:v>
                </c:pt>
                <c:pt idx="17">
                  <c:v>6760627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8-477D-836B-B52474A20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01423"/>
        <c:axId val="27900943"/>
      </c:scatterChart>
      <c:valAx>
        <c:axId val="27901423"/>
        <c:scaling>
          <c:orientation val="minMax"/>
          <c:min val="5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r>
                  <a:rPr lang="pl-PL"/>
                  <a:t> </a:t>
                </a:r>
                <a:r>
                  <a:rPr lang="en-US"/>
                  <a:t>[counts]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0943"/>
        <c:crosses val="autoZero"/>
        <c:crossBetween val="midCat"/>
      </c:valAx>
      <c:valAx>
        <c:axId val="279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[counts]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1423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Hysteresis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</c:v>
          </c:tx>
          <c:spPr>
            <a:ln w="25400">
              <a:noFill/>
            </a:ln>
          </c:spPr>
          <c:marker>
            <c:symbol val="x"/>
            <c:size val="7"/>
          </c:marker>
          <c:xVal>
            <c:numRef>
              <c:f>Sheet1!$C$6:$C$13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xVal>
          <c:yVal>
            <c:numRef>
              <c:f>Sheet1!$E$6:$E$13</c:f>
              <c:numCache>
                <c:formatCode>General</c:formatCode>
                <c:ptCount val="8"/>
                <c:pt idx="0">
                  <c:v>2869841</c:v>
                </c:pt>
                <c:pt idx="1">
                  <c:v>4134885</c:v>
                </c:pt>
                <c:pt idx="2">
                  <c:v>5562458</c:v>
                </c:pt>
                <c:pt idx="3">
                  <c:v>6755333</c:v>
                </c:pt>
                <c:pt idx="4">
                  <c:v>5494788</c:v>
                </c:pt>
                <c:pt idx="5">
                  <c:v>4142038</c:v>
                </c:pt>
                <c:pt idx="6">
                  <c:v>2889743</c:v>
                </c:pt>
                <c:pt idx="7">
                  <c:v>1730734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83-43D3-989A-51F1D72CDF53}"/>
            </c:ext>
          </c:extLst>
        </c:ser>
        <c:ser>
          <c:idx val="0"/>
          <c:order val="1"/>
          <c:tx>
            <c:v>2</c:v>
          </c:tx>
          <c:spPr>
            <a:ln w="38100">
              <a:noFill/>
            </a:ln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Sheet1!$C$6:$C$13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xVal>
          <c:yVal>
            <c:numRef>
              <c:f>Sheet1!$F$6:$F$13</c:f>
              <c:numCache>
                <c:formatCode>General</c:formatCode>
                <c:ptCount val="8"/>
                <c:pt idx="0">
                  <c:v>2865630</c:v>
                </c:pt>
                <c:pt idx="1">
                  <c:v>4130761</c:v>
                </c:pt>
                <c:pt idx="2">
                  <c:v>5558612</c:v>
                </c:pt>
                <c:pt idx="3">
                  <c:v>6751429</c:v>
                </c:pt>
                <c:pt idx="4">
                  <c:v>5491023</c:v>
                </c:pt>
                <c:pt idx="5">
                  <c:v>4138311</c:v>
                </c:pt>
                <c:pt idx="6">
                  <c:v>2885563</c:v>
                </c:pt>
                <c:pt idx="7">
                  <c:v>1726016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83-43D3-989A-51F1D72CDF53}"/>
            </c:ext>
          </c:extLst>
        </c:ser>
        <c:ser>
          <c:idx val="2"/>
          <c:order val="2"/>
          <c:tx>
            <c:v>3</c:v>
          </c:tx>
          <c:spPr>
            <a:ln w="38100">
              <a:noFill/>
            </a:ln>
          </c:spPr>
          <c:marker>
            <c:symbol val="x"/>
            <c:size val="9"/>
          </c:marker>
          <c:xVal>
            <c:numRef>
              <c:f>Sheet1!$C$6:$C$13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xVal>
          <c:yVal>
            <c:numRef>
              <c:f>Sheet1!$G$6:$G$13</c:f>
              <c:numCache>
                <c:formatCode>General</c:formatCode>
                <c:ptCount val="8"/>
                <c:pt idx="0">
                  <c:v>2861821</c:v>
                </c:pt>
                <c:pt idx="1">
                  <c:v>4127124</c:v>
                </c:pt>
                <c:pt idx="2">
                  <c:v>5555604</c:v>
                </c:pt>
                <c:pt idx="3">
                  <c:v>6748371</c:v>
                </c:pt>
                <c:pt idx="4">
                  <c:v>5488118</c:v>
                </c:pt>
                <c:pt idx="5">
                  <c:v>4134974</c:v>
                </c:pt>
                <c:pt idx="6">
                  <c:v>2882107</c:v>
                </c:pt>
                <c:pt idx="7">
                  <c:v>1722232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83-43D3-989A-51F1D72CDF53}"/>
            </c:ext>
          </c:extLst>
        </c:ser>
        <c:ser>
          <c:idx val="3"/>
          <c:order val="3"/>
          <c:tx>
            <c:v>4</c:v>
          </c:tx>
          <c:spPr>
            <a:ln w="38100">
              <a:noFill/>
            </a:ln>
          </c:spPr>
          <c:marker>
            <c:spPr>
              <a:ln>
                <a:solidFill>
                  <a:srgbClr val="7030A0"/>
                </a:solidFill>
              </a:ln>
            </c:spPr>
          </c:marker>
          <c:xVal>
            <c:numRef>
              <c:f>Sheet1!$C$6:$C$13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xVal>
          <c:yVal>
            <c:numRef>
              <c:f>Sheet1!$H$6:$H$13</c:f>
              <c:numCache>
                <c:formatCode>General</c:formatCode>
                <c:ptCount val="8"/>
                <c:pt idx="0">
                  <c:v>2858623</c:v>
                </c:pt>
                <c:pt idx="1">
                  <c:v>4122966</c:v>
                </c:pt>
                <c:pt idx="2">
                  <c:v>5549952</c:v>
                </c:pt>
                <c:pt idx="3">
                  <c:v>6742652</c:v>
                </c:pt>
                <c:pt idx="4">
                  <c:v>5482290</c:v>
                </c:pt>
                <c:pt idx="5">
                  <c:v>4129464</c:v>
                </c:pt>
                <c:pt idx="6">
                  <c:v>2877361</c:v>
                </c:pt>
                <c:pt idx="7">
                  <c:v>1718532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83-43D3-989A-51F1D72CDF53}"/>
            </c:ext>
          </c:extLst>
        </c:ser>
        <c:ser>
          <c:idx val="4"/>
          <c:order val="4"/>
          <c:tx>
            <c:v>5</c:v>
          </c:tx>
          <c:spPr>
            <a:ln w="38100">
              <a:noFill/>
            </a:ln>
          </c:spPr>
          <c:marker>
            <c:symbol val="x"/>
            <c:size val="9"/>
            <c:spPr>
              <a:ln>
                <a:solidFill>
                  <a:srgbClr val="7030A0"/>
                </a:solidFill>
              </a:ln>
            </c:spPr>
          </c:marker>
          <c:xVal>
            <c:numRef>
              <c:f>Sheet1!$C$6:$C$13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xVal>
          <c:yVal>
            <c:numRef>
              <c:f>Sheet1!$I$6:$I$13</c:f>
              <c:numCache>
                <c:formatCode>General</c:formatCode>
                <c:ptCount val="8"/>
                <c:pt idx="0">
                  <c:v>2862871</c:v>
                </c:pt>
                <c:pt idx="1">
                  <c:v>4127344</c:v>
                </c:pt>
                <c:pt idx="2">
                  <c:v>5553978</c:v>
                </c:pt>
                <c:pt idx="3">
                  <c:v>6746303</c:v>
                </c:pt>
                <c:pt idx="4">
                  <c:v>5486003</c:v>
                </c:pt>
                <c:pt idx="5">
                  <c:v>4133513</c:v>
                </c:pt>
                <c:pt idx="6">
                  <c:v>2881777</c:v>
                </c:pt>
                <c:pt idx="7">
                  <c:v>1722808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C83-43D3-989A-51F1D72CD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638223"/>
        <c:axId val="603638703"/>
      </c:scatterChart>
      <c:valAx>
        <c:axId val="60363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[bar]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38703"/>
        <c:crosses val="autoZero"/>
        <c:crossBetween val="midCat"/>
      </c:valAx>
      <c:valAx>
        <c:axId val="6036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[counts]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38223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 vs counts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</c:v>
          </c:tx>
          <c:spPr>
            <a:ln w="25400">
              <a:noFill/>
            </a:ln>
          </c:spPr>
          <c:marker>
            <c:symbol val="x"/>
            <c:size val="7"/>
          </c:marker>
          <c:xVal>
            <c:numRef>
              <c:f>Sheet1!$C$6:$C$23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</c:numCache>
            </c:numRef>
          </c:xVal>
          <c:yVal>
            <c:numRef>
              <c:f>Sheet1!$E$6:$E$23</c:f>
              <c:numCache>
                <c:formatCode>General</c:formatCode>
                <c:ptCount val="18"/>
                <c:pt idx="0">
                  <c:v>2869841</c:v>
                </c:pt>
                <c:pt idx="1">
                  <c:v>4134885</c:v>
                </c:pt>
                <c:pt idx="2">
                  <c:v>5562458</c:v>
                </c:pt>
                <c:pt idx="3">
                  <c:v>6755333</c:v>
                </c:pt>
                <c:pt idx="4">
                  <c:v>5494788</c:v>
                </c:pt>
                <c:pt idx="5">
                  <c:v>4142038</c:v>
                </c:pt>
                <c:pt idx="6">
                  <c:v>2889743</c:v>
                </c:pt>
                <c:pt idx="7">
                  <c:v>1730734</c:v>
                </c:pt>
                <c:pt idx="8">
                  <c:v>1728538</c:v>
                </c:pt>
                <c:pt idx="9">
                  <c:v>2867001</c:v>
                </c:pt>
                <c:pt idx="10">
                  <c:v>4258021</c:v>
                </c:pt>
                <c:pt idx="11">
                  <c:v>5585378</c:v>
                </c:pt>
                <c:pt idx="12">
                  <c:v>6757090</c:v>
                </c:pt>
                <c:pt idx="13">
                  <c:v>1724154</c:v>
                </c:pt>
                <c:pt idx="14">
                  <c:v>2876447</c:v>
                </c:pt>
                <c:pt idx="15">
                  <c:v>4207156</c:v>
                </c:pt>
                <c:pt idx="16">
                  <c:v>5551303</c:v>
                </c:pt>
                <c:pt idx="17">
                  <c:v>6771218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9-4B2D-A1BE-00D24E4907E2}"/>
            </c:ext>
          </c:extLst>
        </c:ser>
        <c:ser>
          <c:idx val="0"/>
          <c:order val="1"/>
          <c:tx>
            <c:v>2</c:v>
          </c:tx>
          <c:spPr>
            <a:ln w="38100">
              <a:noFill/>
            </a:ln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Sheet1!$C$6:$C$23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</c:numCache>
            </c:numRef>
          </c:xVal>
          <c:yVal>
            <c:numRef>
              <c:f>Sheet1!$F$6:$F$23</c:f>
              <c:numCache>
                <c:formatCode>General</c:formatCode>
                <c:ptCount val="18"/>
                <c:pt idx="0">
                  <c:v>2865630</c:v>
                </c:pt>
                <c:pt idx="1">
                  <c:v>4130761</c:v>
                </c:pt>
                <c:pt idx="2">
                  <c:v>5558612</c:v>
                </c:pt>
                <c:pt idx="3">
                  <c:v>6751429</c:v>
                </c:pt>
                <c:pt idx="4">
                  <c:v>5491023</c:v>
                </c:pt>
                <c:pt idx="5">
                  <c:v>4138311</c:v>
                </c:pt>
                <c:pt idx="6">
                  <c:v>2885563</c:v>
                </c:pt>
                <c:pt idx="7">
                  <c:v>1726016</c:v>
                </c:pt>
                <c:pt idx="8">
                  <c:v>1723585</c:v>
                </c:pt>
                <c:pt idx="9">
                  <c:v>2862470</c:v>
                </c:pt>
                <c:pt idx="10">
                  <c:v>4254293</c:v>
                </c:pt>
                <c:pt idx="11">
                  <c:v>5581626</c:v>
                </c:pt>
                <c:pt idx="12">
                  <c:v>6752597</c:v>
                </c:pt>
                <c:pt idx="13">
                  <c:v>1720832</c:v>
                </c:pt>
                <c:pt idx="14">
                  <c:v>2873410</c:v>
                </c:pt>
                <c:pt idx="15">
                  <c:v>4204442</c:v>
                </c:pt>
                <c:pt idx="16">
                  <c:v>5549453</c:v>
                </c:pt>
                <c:pt idx="17">
                  <c:v>6765658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E9-4B2D-A1BE-00D24E4907E2}"/>
            </c:ext>
          </c:extLst>
        </c:ser>
        <c:ser>
          <c:idx val="2"/>
          <c:order val="2"/>
          <c:tx>
            <c:v>3</c:v>
          </c:tx>
          <c:spPr>
            <a:ln w="38100">
              <a:noFill/>
            </a:ln>
          </c:spPr>
          <c:marker>
            <c:symbol val="x"/>
            <c:size val="9"/>
          </c:marker>
          <c:xVal>
            <c:numRef>
              <c:f>Sheet1!$C$6:$C$23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</c:numCache>
            </c:numRef>
          </c:xVal>
          <c:yVal>
            <c:numRef>
              <c:f>Sheet1!$G$6:$G$23</c:f>
              <c:numCache>
                <c:formatCode>General</c:formatCode>
                <c:ptCount val="18"/>
                <c:pt idx="0">
                  <c:v>2861821</c:v>
                </c:pt>
                <c:pt idx="1">
                  <c:v>4127124</c:v>
                </c:pt>
                <c:pt idx="2">
                  <c:v>5555604</c:v>
                </c:pt>
                <c:pt idx="3">
                  <c:v>6748371</c:v>
                </c:pt>
                <c:pt idx="4">
                  <c:v>5488118</c:v>
                </c:pt>
                <c:pt idx="5">
                  <c:v>4134974</c:v>
                </c:pt>
                <c:pt idx="6">
                  <c:v>2882107</c:v>
                </c:pt>
                <c:pt idx="7">
                  <c:v>1722232</c:v>
                </c:pt>
                <c:pt idx="8">
                  <c:v>1719345</c:v>
                </c:pt>
                <c:pt idx="9">
                  <c:v>2858410</c:v>
                </c:pt>
                <c:pt idx="10">
                  <c:v>4250391</c:v>
                </c:pt>
                <c:pt idx="11">
                  <c:v>5577306</c:v>
                </c:pt>
                <c:pt idx="12">
                  <c:v>6748973</c:v>
                </c:pt>
                <c:pt idx="13">
                  <c:v>1716041</c:v>
                </c:pt>
                <c:pt idx="14">
                  <c:v>2868595</c:v>
                </c:pt>
                <c:pt idx="15">
                  <c:v>4199341</c:v>
                </c:pt>
                <c:pt idx="16">
                  <c:v>5542238</c:v>
                </c:pt>
                <c:pt idx="17">
                  <c:v>6759352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E9-4B2D-A1BE-00D24E4907E2}"/>
            </c:ext>
          </c:extLst>
        </c:ser>
        <c:ser>
          <c:idx val="3"/>
          <c:order val="3"/>
          <c:tx>
            <c:v>4</c:v>
          </c:tx>
          <c:spPr>
            <a:ln w="38100">
              <a:noFill/>
            </a:ln>
          </c:spPr>
          <c:marker>
            <c:spPr>
              <a:ln>
                <a:solidFill>
                  <a:srgbClr val="7030A0"/>
                </a:solidFill>
              </a:ln>
            </c:spPr>
          </c:marker>
          <c:xVal>
            <c:numRef>
              <c:f>Sheet1!$C$6:$C$23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</c:numCache>
            </c:numRef>
          </c:xVal>
          <c:yVal>
            <c:numRef>
              <c:f>Sheet1!$H$6:$H$23</c:f>
              <c:numCache>
                <c:formatCode>General</c:formatCode>
                <c:ptCount val="18"/>
                <c:pt idx="0">
                  <c:v>2858623</c:v>
                </c:pt>
                <c:pt idx="1">
                  <c:v>4122966</c:v>
                </c:pt>
                <c:pt idx="2">
                  <c:v>5549952</c:v>
                </c:pt>
                <c:pt idx="3">
                  <c:v>6742652</c:v>
                </c:pt>
                <c:pt idx="4">
                  <c:v>5482290</c:v>
                </c:pt>
                <c:pt idx="5">
                  <c:v>4129464</c:v>
                </c:pt>
                <c:pt idx="6">
                  <c:v>2877361</c:v>
                </c:pt>
                <c:pt idx="7">
                  <c:v>1718532</c:v>
                </c:pt>
                <c:pt idx="8">
                  <c:v>1717044</c:v>
                </c:pt>
                <c:pt idx="9">
                  <c:v>2855580</c:v>
                </c:pt>
                <c:pt idx="10">
                  <c:v>4246727</c:v>
                </c:pt>
                <c:pt idx="11">
                  <c:v>5572587</c:v>
                </c:pt>
                <c:pt idx="12">
                  <c:v>6743217</c:v>
                </c:pt>
                <c:pt idx="13">
                  <c:v>1719038</c:v>
                </c:pt>
                <c:pt idx="14">
                  <c:v>2871650</c:v>
                </c:pt>
                <c:pt idx="15">
                  <c:v>4202783</c:v>
                </c:pt>
                <c:pt idx="16">
                  <c:v>5546166</c:v>
                </c:pt>
                <c:pt idx="17">
                  <c:v>6761295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E9-4B2D-A1BE-00D24E4907E2}"/>
            </c:ext>
          </c:extLst>
        </c:ser>
        <c:ser>
          <c:idx val="4"/>
          <c:order val="4"/>
          <c:tx>
            <c:v>5</c:v>
          </c:tx>
          <c:spPr>
            <a:ln w="38100">
              <a:noFill/>
            </a:ln>
          </c:spPr>
          <c:marker>
            <c:symbol val="x"/>
            <c:size val="9"/>
            <c:spPr>
              <a:ln>
                <a:solidFill>
                  <a:srgbClr val="7030A0"/>
                </a:solidFill>
              </a:ln>
            </c:spPr>
          </c:marker>
          <c:xVal>
            <c:numRef>
              <c:f>Sheet1!$C$6:$C$23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</c:numCache>
            </c:numRef>
          </c:xVal>
          <c:yVal>
            <c:numRef>
              <c:f>Sheet1!$I$6:$I$23</c:f>
              <c:numCache>
                <c:formatCode>General</c:formatCode>
                <c:ptCount val="18"/>
                <c:pt idx="0">
                  <c:v>2862871</c:v>
                </c:pt>
                <c:pt idx="1">
                  <c:v>4127344</c:v>
                </c:pt>
                <c:pt idx="2">
                  <c:v>5553978</c:v>
                </c:pt>
                <c:pt idx="3">
                  <c:v>6746303</c:v>
                </c:pt>
                <c:pt idx="4">
                  <c:v>5486003</c:v>
                </c:pt>
                <c:pt idx="5">
                  <c:v>4133513</c:v>
                </c:pt>
                <c:pt idx="6">
                  <c:v>2881777</c:v>
                </c:pt>
                <c:pt idx="7">
                  <c:v>1722808</c:v>
                </c:pt>
                <c:pt idx="8">
                  <c:v>1721481</c:v>
                </c:pt>
                <c:pt idx="9">
                  <c:v>2859620</c:v>
                </c:pt>
                <c:pt idx="10">
                  <c:v>4250587</c:v>
                </c:pt>
                <c:pt idx="11">
                  <c:v>5576556</c:v>
                </c:pt>
                <c:pt idx="12">
                  <c:v>6746697</c:v>
                </c:pt>
                <c:pt idx="13">
                  <c:v>1720241</c:v>
                </c:pt>
                <c:pt idx="14">
                  <c:v>2872396</c:v>
                </c:pt>
                <c:pt idx="15">
                  <c:v>4202862</c:v>
                </c:pt>
                <c:pt idx="16">
                  <c:v>5546741</c:v>
                </c:pt>
                <c:pt idx="17">
                  <c:v>6760627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E9-4B2D-A1BE-00D24E490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638223"/>
        <c:axId val="603638703"/>
      </c:scatterChart>
      <c:valAx>
        <c:axId val="60363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[bar]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38703"/>
        <c:crosses val="autoZero"/>
        <c:crossBetween val="midCat"/>
      </c:valAx>
      <c:valAx>
        <c:axId val="6036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[counts]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38223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Temperatur</a:t>
            </a:r>
            <a:r>
              <a:rPr lang="en-US"/>
              <a:t>e vs counts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marker>
            <c:symbol val="x"/>
            <c:size val="7"/>
          </c:marker>
          <c:xVal>
            <c:numRef>
              <c:f>Sheet1!$D$6:$D$23</c:f>
              <c:numCache>
                <c:formatCode>General</c:formatCode>
                <c:ptCount val="1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</c:numCache>
            </c:numRef>
          </c:xVal>
          <c:yVal>
            <c:numRef>
              <c:f>Sheet1!$J$6:$J$23</c:f>
              <c:numCache>
                <c:formatCode>General</c:formatCode>
                <c:ptCount val="18"/>
                <c:pt idx="0">
                  <c:v>6080992</c:v>
                </c:pt>
                <c:pt idx="1">
                  <c:v>6008327</c:v>
                </c:pt>
                <c:pt idx="2">
                  <c:v>5930111</c:v>
                </c:pt>
                <c:pt idx="3">
                  <c:v>5875641</c:v>
                </c:pt>
                <c:pt idx="4">
                  <c:v>5841848</c:v>
                </c:pt>
                <c:pt idx="5">
                  <c:v>5832039</c:v>
                </c:pt>
                <c:pt idx="6">
                  <c:v>5871319</c:v>
                </c:pt>
                <c:pt idx="7">
                  <c:v>5891753</c:v>
                </c:pt>
                <c:pt idx="8">
                  <c:v>6168533</c:v>
                </c:pt>
                <c:pt idx="9">
                  <c:v>6254304</c:v>
                </c:pt>
                <c:pt idx="10">
                  <c:v>6319013</c:v>
                </c:pt>
                <c:pt idx="11">
                  <c:v>6310411</c:v>
                </c:pt>
                <c:pt idx="12">
                  <c:v>6292735</c:v>
                </c:pt>
                <c:pt idx="13">
                  <c:v>7810883</c:v>
                </c:pt>
                <c:pt idx="14">
                  <c:v>7861666</c:v>
                </c:pt>
                <c:pt idx="15">
                  <c:v>7831934</c:v>
                </c:pt>
                <c:pt idx="16">
                  <c:v>7705713</c:v>
                </c:pt>
                <c:pt idx="17">
                  <c:v>7527323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FA-45BD-9965-806DA8396225}"/>
            </c:ext>
          </c:extLst>
        </c:ser>
        <c:ser>
          <c:idx val="0"/>
          <c:order val="1"/>
          <c:spPr>
            <a:ln w="38100">
              <a:noFill/>
            </a:ln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Sheet1!$D$6:$D$23</c:f>
              <c:numCache>
                <c:formatCode>General</c:formatCode>
                <c:ptCount val="1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</c:numCache>
            </c:numRef>
          </c:xVal>
          <c:yVal>
            <c:numRef>
              <c:f>Sheet1!$K$6:$K$23</c:f>
              <c:numCache>
                <c:formatCode>General</c:formatCode>
                <c:ptCount val="18"/>
                <c:pt idx="0">
                  <c:v>6194944</c:v>
                </c:pt>
                <c:pt idx="1">
                  <c:v>6146750</c:v>
                </c:pt>
                <c:pt idx="2">
                  <c:v>6040888</c:v>
                </c:pt>
                <c:pt idx="3">
                  <c:v>5997523</c:v>
                </c:pt>
                <c:pt idx="4">
                  <c:v>5972118</c:v>
                </c:pt>
                <c:pt idx="5">
                  <c:v>5965250</c:v>
                </c:pt>
                <c:pt idx="6">
                  <c:v>6004915</c:v>
                </c:pt>
                <c:pt idx="7">
                  <c:v>6025621</c:v>
                </c:pt>
                <c:pt idx="8">
                  <c:v>6320790</c:v>
                </c:pt>
                <c:pt idx="9">
                  <c:v>6413956</c:v>
                </c:pt>
                <c:pt idx="10">
                  <c:v>6470465</c:v>
                </c:pt>
                <c:pt idx="11">
                  <c:v>6461588</c:v>
                </c:pt>
                <c:pt idx="12">
                  <c:v>6405430</c:v>
                </c:pt>
                <c:pt idx="13">
                  <c:v>7952226</c:v>
                </c:pt>
                <c:pt idx="14">
                  <c:v>8002123</c:v>
                </c:pt>
                <c:pt idx="15">
                  <c:v>7921998</c:v>
                </c:pt>
                <c:pt idx="16">
                  <c:v>7765019</c:v>
                </c:pt>
                <c:pt idx="17">
                  <c:v>7560122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FA-45BD-9965-806DA8396225}"/>
            </c:ext>
          </c:extLst>
        </c:ser>
        <c:ser>
          <c:idx val="2"/>
          <c:order val="2"/>
          <c:spPr>
            <a:ln w="38100">
              <a:noFill/>
            </a:ln>
          </c:spPr>
          <c:marker>
            <c:symbol val="x"/>
            <c:size val="9"/>
          </c:marker>
          <c:xVal>
            <c:numRef>
              <c:f>Sheet1!$D$6:$D$23</c:f>
              <c:numCache>
                <c:formatCode>General</c:formatCode>
                <c:ptCount val="1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</c:numCache>
            </c:numRef>
          </c:xVal>
          <c:yVal>
            <c:numRef>
              <c:f>Sheet1!$L$6:$L$23</c:f>
              <c:numCache>
                <c:formatCode>General</c:formatCode>
                <c:ptCount val="18"/>
                <c:pt idx="0">
                  <c:v>6062449</c:v>
                </c:pt>
                <c:pt idx="1">
                  <c:v>6005602</c:v>
                </c:pt>
                <c:pt idx="2">
                  <c:v>5892094</c:v>
                </c:pt>
                <c:pt idx="3">
                  <c:v>5854157</c:v>
                </c:pt>
                <c:pt idx="4">
                  <c:v>5820723</c:v>
                </c:pt>
                <c:pt idx="5">
                  <c:v>5825148</c:v>
                </c:pt>
                <c:pt idx="6">
                  <c:v>5858720</c:v>
                </c:pt>
                <c:pt idx="7">
                  <c:v>5879714</c:v>
                </c:pt>
                <c:pt idx="8">
                  <c:v>6233483</c:v>
                </c:pt>
                <c:pt idx="9">
                  <c:v>6339667</c:v>
                </c:pt>
                <c:pt idx="10">
                  <c:v>6398635</c:v>
                </c:pt>
                <c:pt idx="11">
                  <c:v>6389615</c:v>
                </c:pt>
                <c:pt idx="12">
                  <c:v>6310766</c:v>
                </c:pt>
                <c:pt idx="13">
                  <c:v>7946586</c:v>
                </c:pt>
                <c:pt idx="14">
                  <c:v>8023716</c:v>
                </c:pt>
                <c:pt idx="15">
                  <c:v>7918842</c:v>
                </c:pt>
                <c:pt idx="16">
                  <c:v>7763326</c:v>
                </c:pt>
                <c:pt idx="17">
                  <c:v>7456932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FA-45BD-9965-806DA8396225}"/>
            </c:ext>
          </c:extLst>
        </c:ser>
        <c:ser>
          <c:idx val="3"/>
          <c:order val="3"/>
          <c:spPr>
            <a:ln w="38100">
              <a:noFill/>
            </a:ln>
          </c:spPr>
          <c:marker>
            <c:spPr>
              <a:ln>
                <a:solidFill>
                  <a:srgbClr val="7030A0"/>
                </a:solidFill>
              </a:ln>
            </c:spPr>
          </c:marker>
          <c:xVal>
            <c:numRef>
              <c:f>Sheet1!$D$6:$D$23</c:f>
              <c:numCache>
                <c:formatCode>General</c:formatCode>
                <c:ptCount val="1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</c:numCache>
            </c:numRef>
          </c:xVal>
          <c:yVal>
            <c:numRef>
              <c:f>Sheet1!$M$6:$M$23</c:f>
              <c:numCache>
                <c:formatCode>General</c:formatCode>
                <c:ptCount val="18"/>
                <c:pt idx="0">
                  <c:v>6439592</c:v>
                </c:pt>
                <c:pt idx="1">
                  <c:v>6425460</c:v>
                </c:pt>
                <c:pt idx="2">
                  <c:v>6399339</c:v>
                </c:pt>
                <c:pt idx="3">
                  <c:v>6389105</c:v>
                </c:pt>
                <c:pt idx="4">
                  <c:v>6351385</c:v>
                </c:pt>
                <c:pt idx="5">
                  <c:v>6355092</c:v>
                </c:pt>
                <c:pt idx="6">
                  <c:v>6362537</c:v>
                </c:pt>
                <c:pt idx="7">
                  <c:v>6362989</c:v>
                </c:pt>
                <c:pt idx="8">
                  <c:v>6651245</c:v>
                </c:pt>
                <c:pt idx="9">
                  <c:v>6790930</c:v>
                </c:pt>
                <c:pt idx="10">
                  <c:v>6904369</c:v>
                </c:pt>
                <c:pt idx="11">
                  <c:v>6963234</c:v>
                </c:pt>
                <c:pt idx="12">
                  <c:v>7039192</c:v>
                </c:pt>
                <c:pt idx="13">
                  <c:v>8193941</c:v>
                </c:pt>
                <c:pt idx="14">
                  <c:v>8392855</c:v>
                </c:pt>
                <c:pt idx="15">
                  <c:v>8530562</c:v>
                </c:pt>
                <c:pt idx="16">
                  <c:v>8576620</c:v>
                </c:pt>
                <c:pt idx="17">
                  <c:v>8582316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FA-45BD-9965-806DA8396225}"/>
            </c:ext>
          </c:extLst>
        </c:ser>
        <c:ser>
          <c:idx val="4"/>
          <c:order val="4"/>
          <c:spPr>
            <a:ln w="38100">
              <a:noFill/>
            </a:ln>
          </c:spPr>
          <c:marker>
            <c:symbol val="x"/>
            <c:size val="9"/>
            <c:spPr>
              <a:ln>
                <a:solidFill>
                  <a:srgbClr val="7030A0"/>
                </a:solidFill>
              </a:ln>
            </c:spPr>
          </c:marker>
          <c:xVal>
            <c:numRef>
              <c:f>Sheet1!$D$6:$D$23</c:f>
              <c:numCache>
                <c:formatCode>General</c:formatCode>
                <c:ptCount val="1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</c:numCache>
            </c:numRef>
          </c:xVal>
          <c:yVal>
            <c:numRef>
              <c:f>Sheet1!$N$6:$N$23</c:f>
              <c:numCache>
                <c:formatCode>General</c:formatCode>
                <c:ptCount val="18"/>
                <c:pt idx="0">
                  <c:v>6278702</c:v>
                </c:pt>
                <c:pt idx="1">
                  <c:v>6245450</c:v>
                </c:pt>
                <c:pt idx="2">
                  <c:v>6209602</c:v>
                </c:pt>
                <c:pt idx="3">
                  <c:v>6203172</c:v>
                </c:pt>
                <c:pt idx="4">
                  <c:v>6198136</c:v>
                </c:pt>
                <c:pt idx="5">
                  <c:v>6195151</c:v>
                </c:pt>
                <c:pt idx="6">
                  <c:v>6198485</c:v>
                </c:pt>
                <c:pt idx="7">
                  <c:v>6197660</c:v>
                </c:pt>
                <c:pt idx="8">
                  <c:v>6429999</c:v>
                </c:pt>
                <c:pt idx="9">
                  <c:v>6574699</c:v>
                </c:pt>
                <c:pt idx="10">
                  <c:v>6707740</c:v>
                </c:pt>
                <c:pt idx="11">
                  <c:v>6785876</c:v>
                </c:pt>
                <c:pt idx="12">
                  <c:v>6836055</c:v>
                </c:pt>
                <c:pt idx="13">
                  <c:v>7972939</c:v>
                </c:pt>
                <c:pt idx="14">
                  <c:v>8116880</c:v>
                </c:pt>
                <c:pt idx="15">
                  <c:v>8207179</c:v>
                </c:pt>
                <c:pt idx="16">
                  <c:v>8331154</c:v>
                </c:pt>
                <c:pt idx="17">
                  <c:v>8433447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FA-45BD-9965-806DA8396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638223"/>
        <c:axId val="603638703"/>
      </c:scatterChart>
      <c:valAx>
        <c:axId val="60363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temperature</a:t>
                </a:r>
                <a:r>
                  <a:rPr lang="en-US"/>
                  <a:t> [</a:t>
                </a:r>
                <a:r>
                  <a:rPr lang="pl-PL"/>
                  <a:t>degC</a:t>
                </a:r>
                <a:r>
                  <a:rPr lang="en-US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38703"/>
        <c:crosses val="autoZero"/>
        <c:crossBetween val="midCat"/>
      </c:valAx>
      <c:valAx>
        <c:axId val="6036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</a:t>
                </a:r>
                <a:r>
                  <a:rPr lang="en-US"/>
                  <a:t>re [counts]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38223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height [cm]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Sheet2!$G$4:$G$365</c:f>
              <c:numCache>
                <c:formatCode>General</c:formatCode>
                <c:ptCount val="362"/>
                <c:pt idx="0">
                  <c:v>73.903844972016941</c:v>
                </c:pt>
                <c:pt idx="1">
                  <c:v>57.619479556441888</c:v>
                </c:pt>
                <c:pt idx="2">
                  <c:v>-3.1313986959403906</c:v>
                </c:pt>
                <c:pt idx="3">
                  <c:v>-35.321610934808234</c:v>
                </c:pt>
                <c:pt idx="4">
                  <c:v>87.307328560684994</c:v>
                </c:pt>
                <c:pt idx="5">
                  <c:v>-38.202396725112919</c:v>
                </c:pt>
                <c:pt idx="6">
                  <c:v>37.702807152489015</c:v>
                </c:pt>
                <c:pt idx="7">
                  <c:v>6.1375697797828366</c:v>
                </c:pt>
                <c:pt idx="8">
                  <c:v>45.594271591069457</c:v>
                </c:pt>
                <c:pt idx="9">
                  <c:v>-67.385543206704313</c:v>
                </c:pt>
                <c:pt idx="10">
                  <c:v>-11.022480084615438</c:v>
                </c:pt>
                <c:pt idx="11">
                  <c:v>5.6365422687235878</c:v>
                </c:pt>
                <c:pt idx="12">
                  <c:v>-59.36965615573655</c:v>
                </c:pt>
                <c:pt idx="13">
                  <c:v>-24.174144549634491</c:v>
                </c:pt>
                <c:pt idx="14">
                  <c:v>61.12685901622541</c:v>
                </c:pt>
                <c:pt idx="15">
                  <c:v>0</c:v>
                </c:pt>
                <c:pt idx="16">
                  <c:v>-44.089194152861921</c:v>
                </c:pt>
                <c:pt idx="17">
                  <c:v>-20.416543713530189</c:v>
                </c:pt>
                <c:pt idx="18">
                  <c:v>28.433547204267029</c:v>
                </c:pt>
                <c:pt idx="19">
                  <c:v>-19.289260720145762</c:v>
                </c:pt>
                <c:pt idx="20">
                  <c:v>-61.62413085870071</c:v>
                </c:pt>
                <c:pt idx="21">
                  <c:v>-35.822617752845076</c:v>
                </c:pt>
                <c:pt idx="22">
                  <c:v>-6.388042977111752</c:v>
                </c:pt>
                <c:pt idx="23">
                  <c:v>30.187184413190948</c:v>
                </c:pt>
                <c:pt idx="24">
                  <c:v>1.503074843367358</c:v>
                </c:pt>
                <c:pt idx="25">
                  <c:v>-4.3839554393187541</c:v>
                </c:pt>
                <c:pt idx="26">
                  <c:v>-13.151808879094062</c:v>
                </c:pt>
                <c:pt idx="27">
                  <c:v>10.521571170285426</c:v>
                </c:pt>
                <c:pt idx="28">
                  <c:v>60.250013002155356</c:v>
                </c:pt>
                <c:pt idx="29">
                  <c:v>-45.466950268036044</c:v>
                </c:pt>
                <c:pt idx="30">
                  <c:v>-23.046865775525305</c:v>
                </c:pt>
                <c:pt idx="31">
                  <c:v>0.37576849978364635</c:v>
                </c:pt>
                <c:pt idx="32">
                  <c:v>19.039114322535511</c:v>
                </c:pt>
                <c:pt idx="33">
                  <c:v>57.870006254135831</c:v>
                </c:pt>
                <c:pt idx="34">
                  <c:v>36.575460154497819</c:v>
                </c:pt>
                <c:pt idx="35">
                  <c:v>-35.572114374944874</c:v>
                </c:pt>
                <c:pt idx="36">
                  <c:v>55.865794422332726</c:v>
                </c:pt>
                <c:pt idx="37">
                  <c:v>56.742636606227848</c:v>
                </c:pt>
                <c:pt idx="38">
                  <c:v>27.807248943408069</c:v>
                </c:pt>
                <c:pt idx="39">
                  <c:v>-38.202396725112919</c:v>
                </c:pt>
                <c:pt idx="40">
                  <c:v>35.072332792775285</c:v>
                </c:pt>
                <c:pt idx="41">
                  <c:v>80.041866644630488</c:v>
                </c:pt>
                <c:pt idx="42">
                  <c:v>24.299985904441712</c:v>
                </c:pt>
                <c:pt idx="43">
                  <c:v>79.165004107879611</c:v>
                </c:pt>
                <c:pt idx="44">
                  <c:v>53.736323735084568</c:v>
                </c:pt>
                <c:pt idx="45">
                  <c:v>45.343747956755465</c:v>
                </c:pt>
                <c:pt idx="46">
                  <c:v>52.608958730230881</c:v>
                </c:pt>
                <c:pt idx="47">
                  <c:v>-22.170092521022866</c:v>
                </c:pt>
                <c:pt idx="48">
                  <c:v>49.352133605080439</c:v>
                </c:pt>
                <c:pt idx="49">
                  <c:v>35.949156813501304</c:v>
                </c:pt>
                <c:pt idx="50">
                  <c:v>44.091130724436312</c:v>
                </c:pt>
                <c:pt idx="51">
                  <c:v>71.523805850412714</c:v>
                </c:pt>
                <c:pt idx="52">
                  <c:v>31.940824685970881</c:v>
                </c:pt>
                <c:pt idx="53">
                  <c:v>14.02878606837703</c:v>
                </c:pt>
                <c:pt idx="54">
                  <c:v>13.151981195204598</c:v>
                </c:pt>
                <c:pt idx="55">
                  <c:v>-4.8849776987324844</c:v>
                </c:pt>
                <c:pt idx="56">
                  <c:v>37.452285487897541</c:v>
                </c:pt>
                <c:pt idx="57">
                  <c:v>0</c:v>
                </c:pt>
                <c:pt idx="58">
                  <c:v>84.426190819392843</c:v>
                </c:pt>
                <c:pt idx="59">
                  <c:v>100.20991640927122</c:v>
                </c:pt>
                <c:pt idx="60">
                  <c:v>39.205938453183364</c:v>
                </c:pt>
                <c:pt idx="61">
                  <c:v>115.99389019046811</c:v>
                </c:pt>
                <c:pt idx="62">
                  <c:v>130.27484224193984</c:v>
                </c:pt>
                <c:pt idx="63">
                  <c:v>52.608958730230881</c:v>
                </c:pt>
                <c:pt idx="64">
                  <c:v>23.423172059194997</c:v>
                </c:pt>
                <c:pt idx="65">
                  <c:v>7.014368526192527</c:v>
                </c:pt>
                <c:pt idx="66">
                  <c:v>-29.434762089488231</c:v>
                </c:pt>
                <c:pt idx="67">
                  <c:v>-73.021675463685654</c:v>
                </c:pt>
                <c:pt idx="68">
                  <c:v>5.2607717996920655</c:v>
                </c:pt>
                <c:pt idx="69">
                  <c:v>18.412821922862577</c:v>
                </c:pt>
                <c:pt idx="70">
                  <c:v>22.796876924428489</c:v>
                </c:pt>
                <c:pt idx="71">
                  <c:v>2.3798695420111926</c:v>
                </c:pt>
                <c:pt idx="72">
                  <c:v>-0.50102444815394165</c:v>
                </c:pt>
                <c:pt idx="73">
                  <c:v>66.262686764167711</c:v>
                </c:pt>
                <c:pt idx="74">
                  <c:v>87.933663946505192</c:v>
                </c:pt>
                <c:pt idx="75">
                  <c:v>72.776457316295762</c:v>
                </c:pt>
                <c:pt idx="76">
                  <c:v>17.034980019728607</c:v>
                </c:pt>
                <c:pt idx="77">
                  <c:v>-68.01178168698101</c:v>
                </c:pt>
                <c:pt idx="78">
                  <c:v>47.347938780076504</c:v>
                </c:pt>
                <c:pt idx="79">
                  <c:v>11.398373745922186</c:v>
                </c:pt>
                <c:pt idx="80">
                  <c:v>-68.88851490279535</c:v>
                </c:pt>
                <c:pt idx="81">
                  <c:v>-0.87679261964979105</c:v>
                </c:pt>
                <c:pt idx="82">
                  <c:v>-119.98821367777737</c:v>
                </c:pt>
                <c:pt idx="83">
                  <c:v>-74.775132378785258</c:v>
                </c:pt>
                <c:pt idx="84">
                  <c:v>-95.440643820484183</c:v>
                </c:pt>
                <c:pt idx="85">
                  <c:v>-9.6446766932302808</c:v>
                </c:pt>
                <c:pt idx="86">
                  <c:v>-21.042811496411673</c:v>
                </c:pt>
                <c:pt idx="87">
                  <c:v>33.694468022605406</c:v>
                </c:pt>
                <c:pt idx="88">
                  <c:v>-57.866670207418736</c:v>
                </c:pt>
                <c:pt idx="89">
                  <c:v>16.659205283437473</c:v>
                </c:pt>
                <c:pt idx="90">
                  <c:v>103.09109945515047</c:v>
                </c:pt>
                <c:pt idx="91">
                  <c:v>75.407030482863036</c:v>
                </c:pt>
                <c:pt idx="92">
                  <c:v>87.307328560684994</c:v>
                </c:pt>
                <c:pt idx="93">
                  <c:v>159.21318386030237</c:v>
                </c:pt>
                <c:pt idx="94">
                  <c:v>94.948646969851325</c:v>
                </c:pt>
                <c:pt idx="95">
                  <c:v>119.50147362588979</c:v>
                </c:pt>
                <c:pt idx="96">
                  <c:v>-13.151808879094062</c:v>
                </c:pt>
                <c:pt idx="97">
                  <c:v>80.918729947703127</c:v>
                </c:pt>
                <c:pt idx="98">
                  <c:v>-55.236439383141089</c:v>
                </c:pt>
                <c:pt idx="99">
                  <c:v>26.679913058723059</c:v>
                </c:pt>
                <c:pt idx="100">
                  <c:v>9.8952840854451551</c:v>
                </c:pt>
                <c:pt idx="101">
                  <c:v>24.926281977036524</c:v>
                </c:pt>
                <c:pt idx="102">
                  <c:v>54.988953004284724</c:v>
                </c:pt>
                <c:pt idx="103">
                  <c:v>-1.1273046560646094</c:v>
                </c:pt>
                <c:pt idx="104">
                  <c:v>-38.828653411316338</c:v>
                </c:pt>
                <c:pt idx="105">
                  <c:v>35.949156813501304</c:v>
                </c:pt>
                <c:pt idx="106">
                  <c:v>-95.190155320030101</c:v>
                </c:pt>
                <c:pt idx="107">
                  <c:v>-41.959930983523464</c:v>
                </c:pt>
                <c:pt idx="108">
                  <c:v>-59.620153594535452</c:v>
                </c:pt>
                <c:pt idx="109">
                  <c:v>-81.413191524671902</c:v>
                </c:pt>
                <c:pt idx="110">
                  <c:v>-67.761286341904281</c:v>
                </c:pt>
                <c:pt idx="111">
                  <c:v>5.6365422687235878</c:v>
                </c:pt>
                <c:pt idx="112">
                  <c:v>41.210117021556414</c:v>
                </c:pt>
                <c:pt idx="113">
                  <c:v>12.525692468928185</c:v>
                </c:pt>
                <c:pt idx="114">
                  <c:v>22.796876924428489</c:v>
                </c:pt>
                <c:pt idx="115">
                  <c:v>-46.719454185675602</c:v>
                </c:pt>
                <c:pt idx="116">
                  <c:v>28.684066617881854</c:v>
                </c:pt>
                <c:pt idx="117">
                  <c:v>-52.230452858957221</c:v>
                </c:pt>
                <c:pt idx="118">
                  <c:v>-159.0626988518693</c:v>
                </c:pt>
                <c:pt idx="119">
                  <c:v>-66.25831295829272</c:v>
                </c:pt>
                <c:pt idx="120">
                  <c:v>-50.101206958191824</c:v>
                </c:pt>
                <c:pt idx="121">
                  <c:v>-4.3839554393187541</c:v>
                </c:pt>
                <c:pt idx="122">
                  <c:v>-107.71450378437919</c:v>
                </c:pt>
                <c:pt idx="123">
                  <c:v>-63.628104121659135</c:v>
                </c:pt>
                <c:pt idx="124">
                  <c:v>-34.444848401186334</c:v>
                </c:pt>
                <c:pt idx="125">
                  <c:v>-142.15565636645238</c:v>
                </c:pt>
                <c:pt idx="126">
                  <c:v>-63.628104121659135</c:v>
                </c:pt>
                <c:pt idx="127">
                  <c:v>-108.8416874815664</c:v>
                </c:pt>
                <c:pt idx="128">
                  <c:v>-46.719454185675602</c:v>
                </c:pt>
                <c:pt idx="129">
                  <c:v>1.7535875363577702</c:v>
                </c:pt>
                <c:pt idx="130">
                  <c:v>-72.395440109025344</c:v>
                </c:pt>
                <c:pt idx="131">
                  <c:v>-114.97855429577726</c:v>
                </c:pt>
                <c:pt idx="132">
                  <c:v>23.172653958253875</c:v>
                </c:pt>
                <c:pt idx="133">
                  <c:v>19.915924337607294</c:v>
                </c:pt>
                <c:pt idx="134">
                  <c:v>-11.648753728208305</c:v>
                </c:pt>
                <c:pt idx="135">
                  <c:v>-90.180372180395807</c:v>
                </c:pt>
                <c:pt idx="136">
                  <c:v>-17.535706880025259</c:v>
                </c:pt>
                <c:pt idx="137">
                  <c:v>-67.761286341904281</c:v>
                </c:pt>
                <c:pt idx="138">
                  <c:v>-44.590196595319753</c:v>
                </c:pt>
                <c:pt idx="139">
                  <c:v>-87.800716430808734</c:v>
                </c:pt>
                <c:pt idx="140">
                  <c:v>-61.874627735468835</c:v>
                </c:pt>
                <c:pt idx="141">
                  <c:v>30.437704264838317</c:v>
                </c:pt>
                <c:pt idx="142">
                  <c:v>-98.947476266806689</c:v>
                </c:pt>
                <c:pt idx="143">
                  <c:v>-107.0882900724456</c:v>
                </c:pt>
                <c:pt idx="144">
                  <c:v>-29.434762089488231</c:v>
                </c:pt>
                <c:pt idx="145">
                  <c:v>-54.860691559751729</c:v>
                </c:pt>
                <c:pt idx="146">
                  <c:v>-62.125124549524458</c:v>
                </c:pt>
                <c:pt idx="147">
                  <c:v>6.1375697797828366</c:v>
                </c:pt>
                <c:pt idx="148">
                  <c:v>1.7535875363577702</c:v>
                </c:pt>
                <c:pt idx="149">
                  <c:v>0.37576849978364635</c:v>
                </c:pt>
                <c:pt idx="150">
                  <c:v>19.039114322535511</c:v>
                </c:pt>
                <c:pt idx="151">
                  <c:v>-99.197963829908531</c:v>
                </c:pt>
                <c:pt idx="152">
                  <c:v>-105.33488960042092</c:v>
                </c:pt>
                <c:pt idx="153">
                  <c:v>-63.878600498156857</c:v>
                </c:pt>
                <c:pt idx="154">
                  <c:v>8.5174538733269856</c:v>
                </c:pt>
                <c:pt idx="155">
                  <c:v>0</c:v>
                </c:pt>
                <c:pt idx="156">
                  <c:v>21.41902900332866</c:v>
                </c:pt>
                <c:pt idx="157">
                  <c:v>-1.7535844734538841</c:v>
                </c:pt>
                <c:pt idx="158">
                  <c:v>-37.951893941075809</c:v>
                </c:pt>
                <c:pt idx="159">
                  <c:v>22.796876924428489</c:v>
                </c:pt>
                <c:pt idx="160">
                  <c:v>5.8870559931349931</c:v>
                </c:pt>
                <c:pt idx="161">
                  <c:v>35.949156813501304</c:v>
                </c:pt>
                <c:pt idx="162">
                  <c:v>-29.685266999078408</c:v>
                </c:pt>
                <c:pt idx="163">
                  <c:v>-3.5071658830503338</c:v>
                </c:pt>
                <c:pt idx="164">
                  <c:v>-19.289260720145762</c:v>
                </c:pt>
                <c:pt idx="165">
                  <c:v>19.039114322535511</c:v>
                </c:pt>
                <c:pt idx="166">
                  <c:v>-52.73145123796894</c:v>
                </c:pt>
                <c:pt idx="167">
                  <c:v>-70.015742198047803</c:v>
                </c:pt>
                <c:pt idx="168">
                  <c:v>-127.75313631158127</c:v>
                </c:pt>
                <c:pt idx="169">
                  <c:v>3.0061519377127865</c:v>
                </c:pt>
                <c:pt idx="170">
                  <c:v>-39.329658479121576</c:v>
                </c:pt>
                <c:pt idx="171">
                  <c:v>-14.028590011065489</c:v>
                </c:pt>
                <c:pt idx="172">
                  <c:v>-12.776045302193495</c:v>
                </c:pt>
                <c:pt idx="173">
                  <c:v>64.258458174987254</c:v>
                </c:pt>
                <c:pt idx="174">
                  <c:v>-2.880887159794554</c:v>
                </c:pt>
                <c:pt idx="175">
                  <c:v>-31.814556205252131</c:v>
                </c:pt>
                <c:pt idx="176">
                  <c:v>88.935801376793222</c:v>
                </c:pt>
                <c:pt idx="177">
                  <c:v>24.04946758448574</c:v>
                </c:pt>
                <c:pt idx="178">
                  <c:v>4.7597447257160752</c:v>
                </c:pt>
                <c:pt idx="179">
                  <c:v>-90.180372180395807</c:v>
                </c:pt>
                <c:pt idx="180">
                  <c:v>9.3942546982560771</c:v>
                </c:pt>
                <c:pt idx="181">
                  <c:v>-46.969954781923207</c:v>
                </c:pt>
                <c:pt idx="182">
                  <c:v>14.780333712336358</c:v>
                </c:pt>
                <c:pt idx="183">
                  <c:v>13.402496794796548</c:v>
                </c:pt>
                <c:pt idx="184">
                  <c:v>-61.62413085870071</c:v>
                </c:pt>
                <c:pt idx="185">
                  <c:v>-100.70088789537266</c:v>
                </c:pt>
                <c:pt idx="186">
                  <c:v>-32.31556477399522</c:v>
                </c:pt>
                <c:pt idx="187">
                  <c:v>-20.166036491201567</c:v>
                </c:pt>
                <c:pt idx="188">
                  <c:v>-93.061000540585326</c:v>
                </c:pt>
                <c:pt idx="189">
                  <c:v>14.02878606837703</c:v>
                </c:pt>
                <c:pt idx="190">
                  <c:v>25.176800515059483</c:v>
                </c:pt>
                <c:pt idx="191">
                  <c:v>42.963776551161459</c:v>
                </c:pt>
                <c:pt idx="192">
                  <c:v>-25.677180945390887</c:v>
                </c:pt>
                <c:pt idx="193">
                  <c:v>-36.448875924179447</c:v>
                </c:pt>
                <c:pt idx="194">
                  <c:v>-30.562033689737689</c:v>
                </c:pt>
                <c:pt idx="195">
                  <c:v>-46.343703174431994</c:v>
                </c:pt>
                <c:pt idx="196">
                  <c:v>-60.496894140038648</c:v>
                </c:pt>
                <c:pt idx="197">
                  <c:v>-48.097206690640348</c:v>
                </c:pt>
                <c:pt idx="198">
                  <c:v>-74.775132378785258</c:v>
                </c:pt>
                <c:pt idx="199">
                  <c:v>-89.053167528412303</c:v>
                </c:pt>
                <c:pt idx="200">
                  <c:v>-27.93173131974811</c:v>
                </c:pt>
                <c:pt idx="201">
                  <c:v>-58.24241690531835</c:v>
                </c:pt>
                <c:pt idx="202">
                  <c:v>-75.902353063634109</c:v>
                </c:pt>
                <c:pt idx="203">
                  <c:v>-81.16269952375319</c:v>
                </c:pt>
                <c:pt idx="204">
                  <c:v>-47.22045531545831</c:v>
                </c:pt>
                <c:pt idx="205">
                  <c:v>83.298791345330869</c:v>
                </c:pt>
                <c:pt idx="206">
                  <c:v>-1.377816629769768</c:v>
                </c:pt>
                <c:pt idx="207">
                  <c:v>-5.7617660515973057</c:v>
                </c:pt>
                <c:pt idx="208">
                  <c:v>-19.790275540124469</c:v>
                </c:pt>
                <c:pt idx="209">
                  <c:v>1.2525622130894476</c:v>
                </c:pt>
                <c:pt idx="210">
                  <c:v>-16.658928811433782</c:v>
                </c:pt>
                <c:pt idx="211">
                  <c:v>-126.62597384949379</c:v>
                </c:pt>
                <c:pt idx="212">
                  <c:v>-88.426942174872636</c:v>
                </c:pt>
                <c:pt idx="213">
                  <c:v>-146.28851526986324</c:v>
                </c:pt>
                <c:pt idx="214">
                  <c:v>-22.170092521022866</c:v>
                </c:pt>
                <c:pt idx="215">
                  <c:v>-23.046865775525305</c:v>
                </c:pt>
                <c:pt idx="216">
                  <c:v>-71.268215486156805</c:v>
                </c:pt>
                <c:pt idx="217">
                  <c:v>-28.307489223124094</c:v>
                </c:pt>
                <c:pt idx="218">
                  <c:v>-93.937711878977836</c:v>
                </c:pt>
                <c:pt idx="219">
                  <c:v>-75.025625973630383</c:v>
                </c:pt>
                <c:pt idx="220">
                  <c:v>-36.699379083061956</c:v>
                </c:pt>
                <c:pt idx="221">
                  <c:v>-47.596205998890184</c:v>
                </c:pt>
                <c:pt idx="222">
                  <c:v>-114.97855429577726</c:v>
                </c:pt>
                <c:pt idx="223">
                  <c:v>-6.388042977111752</c:v>
                </c:pt>
                <c:pt idx="224">
                  <c:v>-28.557994413966981</c:v>
                </c:pt>
                <c:pt idx="225">
                  <c:v>-63.628104121659135</c:v>
                </c:pt>
                <c:pt idx="226">
                  <c:v>-145.91280152705934</c:v>
                </c:pt>
                <c:pt idx="227">
                  <c:v>-118.48531848828827</c:v>
                </c:pt>
                <c:pt idx="228">
                  <c:v>-168.45537719230492</c:v>
                </c:pt>
                <c:pt idx="229">
                  <c:v>-77.65580494657911</c:v>
                </c:pt>
                <c:pt idx="230">
                  <c:v>-68.638019776734893</c:v>
                </c:pt>
                <c:pt idx="231">
                  <c:v>-0.87679261964979105</c:v>
                </c:pt>
                <c:pt idx="232">
                  <c:v>-61.874627735468835</c:v>
                </c:pt>
                <c:pt idx="233">
                  <c:v>-44.590196595319753</c:v>
                </c:pt>
                <c:pt idx="234">
                  <c:v>-112.09798883038502</c:v>
                </c:pt>
                <c:pt idx="235">
                  <c:v>-85.170564038674001</c:v>
                </c:pt>
                <c:pt idx="236">
                  <c:v>-75.276119505764427</c:v>
                </c:pt>
                <c:pt idx="237">
                  <c:v>-99.824182463774491</c:v>
                </c:pt>
                <c:pt idx="238">
                  <c:v>-115.22903785862155</c:v>
                </c:pt>
                <c:pt idx="239">
                  <c:v>-52.73145123796894</c:v>
                </c:pt>
                <c:pt idx="240">
                  <c:v>-138.39849714318007</c:v>
                </c:pt>
                <c:pt idx="241">
                  <c:v>-105.71061853090384</c:v>
                </c:pt>
                <c:pt idx="242">
                  <c:v>-114.10186133386873</c:v>
                </c:pt>
                <c:pt idx="243">
                  <c:v>-123.49496036939627</c:v>
                </c:pt>
                <c:pt idx="244">
                  <c:v>-58.743412284137264</c:v>
                </c:pt>
                <c:pt idx="245">
                  <c:v>-82.289913036167661</c:v>
                </c:pt>
                <c:pt idx="246">
                  <c:v>-67.761286341904281</c:v>
                </c:pt>
                <c:pt idx="247">
                  <c:v>-139.275168886617</c:v>
                </c:pt>
                <c:pt idx="248">
                  <c:v>-108.59120232479569</c:v>
                </c:pt>
                <c:pt idx="249">
                  <c:v>-122.86875650132885</c:v>
                </c:pt>
                <c:pt idx="250">
                  <c:v>-247.47563106244428</c:v>
                </c:pt>
                <c:pt idx="251">
                  <c:v>-84.043353761623507</c:v>
                </c:pt>
                <c:pt idx="252">
                  <c:v>-173.71523867527259</c:v>
                </c:pt>
                <c:pt idx="253">
                  <c:v>-117.85911149507911</c:v>
                </c:pt>
                <c:pt idx="254">
                  <c:v>-107.0882900724456</c:v>
                </c:pt>
                <c:pt idx="255">
                  <c:v>-55.86268544252988</c:v>
                </c:pt>
                <c:pt idx="256">
                  <c:v>-28.307489223124094</c:v>
                </c:pt>
                <c:pt idx="257">
                  <c:v>-16.909436909352848</c:v>
                </c:pt>
                <c:pt idx="258">
                  <c:v>-70.892473663629119</c:v>
                </c:pt>
                <c:pt idx="259">
                  <c:v>-89.554147529990757</c:v>
                </c:pt>
                <c:pt idx="260">
                  <c:v>-11.398244317614115</c:v>
                </c:pt>
                <c:pt idx="261">
                  <c:v>-25.301422057628997</c:v>
                </c:pt>
                <c:pt idx="262">
                  <c:v>-93.436734065188887</c:v>
                </c:pt>
                <c:pt idx="263">
                  <c:v>-67.135047705322393</c:v>
                </c:pt>
                <c:pt idx="264">
                  <c:v>-48.723457203998066</c:v>
                </c:pt>
                <c:pt idx="265">
                  <c:v>-122.86875650132885</c:v>
                </c:pt>
                <c:pt idx="266">
                  <c:v>-58.743412284137264</c:v>
                </c:pt>
                <c:pt idx="267">
                  <c:v>-1.7535844734538841</c:v>
                </c:pt>
                <c:pt idx="268">
                  <c:v>-207.40274561428862</c:v>
                </c:pt>
                <c:pt idx="269">
                  <c:v>-104.83391747441004</c:v>
                </c:pt>
                <c:pt idx="270">
                  <c:v>-73.021675463685654</c:v>
                </c:pt>
                <c:pt idx="271">
                  <c:v>-73.898404303920984</c:v>
                </c:pt>
                <c:pt idx="272">
                  <c:v>-86.923999732451307</c:v>
                </c:pt>
                <c:pt idx="273">
                  <c:v>-94.814422451524649</c:v>
                </c:pt>
                <c:pt idx="274">
                  <c:v>-89.30365756055636</c:v>
                </c:pt>
                <c:pt idx="275">
                  <c:v>-179.85170890616189</c:v>
                </c:pt>
                <c:pt idx="276">
                  <c:v>-93.937711878977836</c:v>
                </c:pt>
                <c:pt idx="277">
                  <c:v>-174.59187957681337</c:v>
                </c:pt>
                <c:pt idx="278">
                  <c:v>-130.88413651006192</c:v>
                </c:pt>
                <c:pt idx="279">
                  <c:v>-146.28851526986324</c:v>
                </c:pt>
                <c:pt idx="280">
                  <c:v>-84.669581849780684</c:v>
                </c:pt>
                <c:pt idx="281">
                  <c:v>-39.329658479121576</c:v>
                </c:pt>
                <c:pt idx="282">
                  <c:v>-107.71450378437919</c:v>
                </c:pt>
                <c:pt idx="283">
                  <c:v>-121.99207043012592</c:v>
                </c:pt>
                <c:pt idx="284">
                  <c:v>-32.941825133120517</c:v>
                </c:pt>
                <c:pt idx="285">
                  <c:v>-68.638019776734893</c:v>
                </c:pt>
                <c:pt idx="286">
                  <c:v>-156.43273316775037</c:v>
                </c:pt>
                <c:pt idx="287">
                  <c:v>-70.892473663629119</c:v>
                </c:pt>
                <c:pt idx="288">
                  <c:v>-96.06686479844484</c:v>
                </c:pt>
                <c:pt idx="289">
                  <c:v>-66.007817175183447</c:v>
                </c:pt>
                <c:pt idx="290">
                  <c:v>6.3880836296164034</c:v>
                </c:pt>
                <c:pt idx="291">
                  <c:v>-49.850707143467332</c:v>
                </c:pt>
                <c:pt idx="292">
                  <c:v>-19.289260720145762</c:v>
                </c:pt>
                <c:pt idx="293">
                  <c:v>24.926281977036524</c:v>
                </c:pt>
                <c:pt idx="294">
                  <c:v>-71.518709956117732</c:v>
                </c:pt>
                <c:pt idx="295">
                  <c:v>-95.440643820484183</c:v>
                </c:pt>
                <c:pt idx="296">
                  <c:v>-56.113183756920648</c:v>
                </c:pt>
                <c:pt idx="297">
                  <c:v>-26.804456765388807</c:v>
                </c:pt>
                <c:pt idx="298">
                  <c:v>-118.48531848828827</c:v>
                </c:pt>
                <c:pt idx="299">
                  <c:v>-52.73145123796894</c:v>
                </c:pt>
                <c:pt idx="300">
                  <c:v>-70.892473663629119</c:v>
                </c:pt>
                <c:pt idx="301">
                  <c:v>35.322853863503667</c:v>
                </c:pt>
                <c:pt idx="302">
                  <c:v>62.254233587967178</c:v>
                </c:pt>
                <c:pt idx="303">
                  <c:v>-91.307575566740695</c:v>
                </c:pt>
                <c:pt idx="304">
                  <c:v>-87.299735554114477</c:v>
                </c:pt>
                <c:pt idx="305">
                  <c:v>5.0102582315858513</c:v>
                </c:pt>
                <c:pt idx="306">
                  <c:v>-16.283166547682981</c:v>
                </c:pt>
                <c:pt idx="307">
                  <c:v>-1.1273046560646094</c:v>
                </c:pt>
                <c:pt idx="308">
                  <c:v>-3.1313986959403906</c:v>
                </c:pt>
                <c:pt idx="309">
                  <c:v>-20.416543713530189</c:v>
                </c:pt>
                <c:pt idx="310">
                  <c:v>1.2525622130894476</c:v>
                </c:pt>
                <c:pt idx="311">
                  <c:v>-5.7617660515973057</c:v>
                </c:pt>
                <c:pt idx="312">
                  <c:v>-22.671105903377509</c:v>
                </c:pt>
                <c:pt idx="313">
                  <c:v>-22.170092521022866</c:v>
                </c:pt>
                <c:pt idx="314">
                  <c:v>-11.398244317614115</c:v>
                </c:pt>
                <c:pt idx="315">
                  <c:v>-13.402317852128931</c:v>
                </c:pt>
                <c:pt idx="316">
                  <c:v>-10.771970517717477</c:v>
                </c:pt>
                <c:pt idx="317">
                  <c:v>-37.325636707568322</c:v>
                </c:pt>
                <c:pt idx="318">
                  <c:v>-55.236439383141089</c:v>
                </c:pt>
                <c:pt idx="319">
                  <c:v>0.62628091104528494</c:v>
                </c:pt>
                <c:pt idx="320">
                  <c:v>22.796876924428489</c:v>
                </c:pt>
                <c:pt idx="321">
                  <c:v>60.250013002155356</c:v>
                </c:pt>
                <c:pt idx="322">
                  <c:v>85.052524407473129</c:v>
                </c:pt>
                <c:pt idx="323">
                  <c:v>54.988953004284724</c:v>
                </c:pt>
                <c:pt idx="324">
                  <c:v>6.3880836296164034</c:v>
                </c:pt>
                <c:pt idx="325">
                  <c:v>-34.444848401186334</c:v>
                </c:pt>
                <c:pt idx="326">
                  <c:v>-13.402317852128931</c:v>
                </c:pt>
                <c:pt idx="327">
                  <c:v>-27.681225972601453</c:v>
                </c:pt>
                <c:pt idx="328">
                  <c:v>-59.620153594535452</c:v>
                </c:pt>
                <c:pt idx="329">
                  <c:v>-60.747391298059483</c:v>
                </c:pt>
                <c:pt idx="330">
                  <c:v>-105.71061853090384</c:v>
                </c:pt>
                <c:pt idx="331">
                  <c:v>-14.279098765084086</c:v>
                </c:pt>
                <c:pt idx="332">
                  <c:v>-34.444848401186334</c:v>
                </c:pt>
                <c:pt idx="333">
                  <c:v>17.28549658850369</c:v>
                </c:pt>
                <c:pt idx="334">
                  <c:v>94.698111017402198</c:v>
                </c:pt>
                <c:pt idx="335">
                  <c:v>-24.800409987946637</c:v>
                </c:pt>
                <c:pt idx="336">
                  <c:v>13.402496794796548</c:v>
                </c:pt>
                <c:pt idx="337">
                  <c:v>34.821811784757983</c:v>
                </c:pt>
                <c:pt idx="338">
                  <c:v>41.836423644950571</c:v>
                </c:pt>
                <c:pt idx="339">
                  <c:v>3.0061519377127865</c:v>
                </c:pt>
                <c:pt idx="340">
                  <c:v>48.851084523508348</c:v>
                </c:pt>
                <c:pt idx="341">
                  <c:v>-23.92363826465953</c:v>
                </c:pt>
                <c:pt idx="342">
                  <c:v>-4.0081885804966078</c:v>
                </c:pt>
                <c:pt idx="343">
                  <c:v>51.481594991015811</c:v>
                </c:pt>
                <c:pt idx="344">
                  <c:v>-17.786214758928054</c:v>
                </c:pt>
                <c:pt idx="345">
                  <c:v>5.0102582315858513</c:v>
                </c:pt>
                <c:pt idx="346">
                  <c:v>64.508986529797596</c:v>
                </c:pt>
                <c:pt idx="347">
                  <c:v>-12.776045302193495</c:v>
                </c:pt>
                <c:pt idx="348">
                  <c:v>80.6681974976172</c:v>
                </c:pt>
                <c:pt idx="349">
                  <c:v>27.180951073073345</c:v>
                </c:pt>
                <c:pt idx="350">
                  <c:v>65.135307690471222</c:v>
                </c:pt>
                <c:pt idx="351">
                  <c:v>123.51015541684802</c:v>
                </c:pt>
                <c:pt idx="352">
                  <c:v>86.179925851259043</c:v>
                </c:pt>
                <c:pt idx="353">
                  <c:v>39.205938453183364</c:v>
                </c:pt>
                <c:pt idx="354">
                  <c:v>110.73253801934158</c:v>
                </c:pt>
                <c:pt idx="355">
                  <c:v>-27.054962331554577</c:v>
                </c:pt>
                <c:pt idx="356">
                  <c:v>26.053615891997595</c:v>
                </c:pt>
                <c:pt idx="357">
                  <c:v>-43.462940748581502</c:v>
                </c:pt>
                <c:pt idx="358">
                  <c:v>43.59008426868769</c:v>
                </c:pt>
                <c:pt idx="359">
                  <c:v>18.788597315727884</c:v>
                </c:pt>
                <c:pt idx="360">
                  <c:v>99.583573363572953</c:v>
                </c:pt>
                <c:pt idx="361">
                  <c:v>-6.1375322538452792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7-41AD-94E2-EE016EC77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473535"/>
        <c:axId val="1114468735"/>
      </c:scatterChart>
      <c:valAx>
        <c:axId val="11144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68735"/>
        <c:crosses val="autoZero"/>
        <c:crossBetween val="midCat"/>
      </c:valAx>
      <c:valAx>
        <c:axId val="111446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7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altitude [m]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Sheet2!$F$4:$F$365</c:f>
              <c:numCache>
                <c:formatCode>General</c:formatCode>
                <c:ptCount val="362"/>
                <c:pt idx="0">
                  <c:v>73.190840768973928</c:v>
                </c:pt>
                <c:pt idx="1">
                  <c:v>73.027997114818177</c:v>
                </c:pt>
                <c:pt idx="2">
                  <c:v>72.420488332294354</c:v>
                </c:pt>
                <c:pt idx="3">
                  <c:v>72.098586209905676</c:v>
                </c:pt>
                <c:pt idx="4">
                  <c:v>73.324875604860608</c:v>
                </c:pt>
                <c:pt idx="5">
                  <c:v>72.069778352002629</c:v>
                </c:pt>
                <c:pt idx="6">
                  <c:v>72.828830390778649</c:v>
                </c:pt>
                <c:pt idx="7">
                  <c:v>72.513178017051587</c:v>
                </c:pt>
                <c:pt idx="8">
                  <c:v>72.907745035164453</c:v>
                </c:pt>
                <c:pt idx="9">
                  <c:v>71.777946887186715</c:v>
                </c:pt>
                <c:pt idx="10">
                  <c:v>72.341577518407604</c:v>
                </c:pt>
                <c:pt idx="11">
                  <c:v>72.508167741940994</c:v>
                </c:pt>
                <c:pt idx="12">
                  <c:v>71.858105757696393</c:v>
                </c:pt>
                <c:pt idx="13">
                  <c:v>72.210060873757413</c:v>
                </c:pt>
                <c:pt idx="14">
                  <c:v>73.063070909416012</c:v>
                </c:pt>
                <c:pt idx="15">
                  <c:v>72.451802319253758</c:v>
                </c:pt>
                <c:pt idx="16">
                  <c:v>72.010910377725139</c:v>
                </c:pt>
                <c:pt idx="17">
                  <c:v>72.247636882118456</c:v>
                </c:pt>
                <c:pt idx="18">
                  <c:v>72.736137791296429</c:v>
                </c:pt>
                <c:pt idx="19">
                  <c:v>72.258909712052301</c:v>
                </c:pt>
                <c:pt idx="20">
                  <c:v>71.835561010666751</c:v>
                </c:pt>
                <c:pt idx="21">
                  <c:v>72.093576141725308</c:v>
                </c:pt>
                <c:pt idx="22">
                  <c:v>72.387921889482641</c:v>
                </c:pt>
                <c:pt idx="23">
                  <c:v>72.753674163385668</c:v>
                </c:pt>
                <c:pt idx="24">
                  <c:v>72.466833067687432</c:v>
                </c:pt>
                <c:pt idx="25">
                  <c:v>72.407962764860571</c:v>
                </c:pt>
                <c:pt idx="26">
                  <c:v>72.320284230462818</c:v>
                </c:pt>
                <c:pt idx="27">
                  <c:v>72.557018030956613</c:v>
                </c:pt>
                <c:pt idx="28">
                  <c:v>73.054302449275312</c:v>
                </c:pt>
                <c:pt idx="29">
                  <c:v>71.997132816573398</c:v>
                </c:pt>
                <c:pt idx="30">
                  <c:v>72.221333661498505</c:v>
                </c:pt>
                <c:pt idx="31">
                  <c:v>72.455560004251595</c:v>
                </c:pt>
                <c:pt idx="32">
                  <c:v>72.642193462479113</c:v>
                </c:pt>
                <c:pt idx="33">
                  <c:v>73.030502381795117</c:v>
                </c:pt>
                <c:pt idx="34">
                  <c:v>72.817556920798737</c:v>
                </c:pt>
                <c:pt idx="35">
                  <c:v>72.09608117550431</c:v>
                </c:pt>
                <c:pt idx="36">
                  <c:v>73.010460263477086</c:v>
                </c:pt>
                <c:pt idx="37">
                  <c:v>73.019228685316037</c:v>
                </c:pt>
                <c:pt idx="38">
                  <c:v>72.729874808687839</c:v>
                </c:pt>
                <c:pt idx="39">
                  <c:v>72.069778352002629</c:v>
                </c:pt>
                <c:pt idx="40">
                  <c:v>72.802525647181511</c:v>
                </c:pt>
                <c:pt idx="41">
                  <c:v>73.252220985700063</c:v>
                </c:pt>
                <c:pt idx="42">
                  <c:v>72.694802178298175</c:v>
                </c:pt>
                <c:pt idx="43">
                  <c:v>73.243452360332554</c:v>
                </c:pt>
                <c:pt idx="44">
                  <c:v>72.989165556604604</c:v>
                </c:pt>
                <c:pt idx="45">
                  <c:v>72.905239798821313</c:v>
                </c:pt>
                <c:pt idx="46">
                  <c:v>72.977891906556067</c:v>
                </c:pt>
                <c:pt idx="47">
                  <c:v>72.23010139404353</c:v>
                </c:pt>
                <c:pt idx="48">
                  <c:v>72.945323655304563</c:v>
                </c:pt>
                <c:pt idx="49">
                  <c:v>72.811293887388771</c:v>
                </c:pt>
                <c:pt idx="50">
                  <c:v>72.892713626498121</c:v>
                </c:pt>
                <c:pt idx="51">
                  <c:v>73.167040377757885</c:v>
                </c:pt>
                <c:pt idx="52">
                  <c:v>72.771210566113467</c:v>
                </c:pt>
                <c:pt idx="53">
                  <c:v>72.592090179937529</c:v>
                </c:pt>
                <c:pt idx="54">
                  <c:v>72.583322131205804</c:v>
                </c:pt>
                <c:pt idx="55">
                  <c:v>72.402952542266434</c:v>
                </c:pt>
                <c:pt idx="56">
                  <c:v>72.826325174132734</c:v>
                </c:pt>
                <c:pt idx="57">
                  <c:v>72.451802319253758</c:v>
                </c:pt>
                <c:pt idx="58">
                  <c:v>73.296064227447687</c:v>
                </c:pt>
                <c:pt idx="59">
                  <c:v>73.453901483346471</c:v>
                </c:pt>
                <c:pt idx="60">
                  <c:v>72.843861703785592</c:v>
                </c:pt>
                <c:pt idx="61">
                  <c:v>73.611741221158439</c:v>
                </c:pt>
                <c:pt idx="62">
                  <c:v>73.754550741673157</c:v>
                </c:pt>
                <c:pt idx="63">
                  <c:v>72.977891906556067</c:v>
                </c:pt>
                <c:pt idx="64">
                  <c:v>72.686034039845708</c:v>
                </c:pt>
                <c:pt idx="65">
                  <c:v>72.521946004515684</c:v>
                </c:pt>
                <c:pt idx="66">
                  <c:v>72.157454698358876</c:v>
                </c:pt>
                <c:pt idx="67">
                  <c:v>71.721585564616902</c:v>
                </c:pt>
                <c:pt idx="68">
                  <c:v>72.504410037250679</c:v>
                </c:pt>
                <c:pt idx="69">
                  <c:v>72.635930538482384</c:v>
                </c:pt>
                <c:pt idx="70">
                  <c:v>72.679771088498043</c:v>
                </c:pt>
                <c:pt idx="71">
                  <c:v>72.47560101467387</c:v>
                </c:pt>
                <c:pt idx="72">
                  <c:v>72.446792074772219</c:v>
                </c:pt>
                <c:pt idx="73">
                  <c:v>73.114429186895435</c:v>
                </c:pt>
                <c:pt idx="74">
                  <c:v>73.33113895871881</c:v>
                </c:pt>
                <c:pt idx="75">
                  <c:v>73.179566892416716</c:v>
                </c:pt>
                <c:pt idx="76">
                  <c:v>72.622152119451044</c:v>
                </c:pt>
                <c:pt idx="77">
                  <c:v>71.771684502383948</c:v>
                </c:pt>
                <c:pt idx="78">
                  <c:v>72.925281707054523</c:v>
                </c:pt>
                <c:pt idx="79">
                  <c:v>72.56578605671298</c:v>
                </c:pt>
                <c:pt idx="80">
                  <c:v>71.762917170225805</c:v>
                </c:pt>
                <c:pt idx="81">
                  <c:v>72.44303439305726</c:v>
                </c:pt>
                <c:pt idx="82">
                  <c:v>71.251920182475985</c:v>
                </c:pt>
                <c:pt idx="83">
                  <c:v>71.704050995465906</c:v>
                </c:pt>
                <c:pt idx="84">
                  <c:v>71.497395881048917</c:v>
                </c:pt>
                <c:pt idx="85">
                  <c:v>72.355355552321456</c:v>
                </c:pt>
                <c:pt idx="86">
                  <c:v>72.241374204289642</c:v>
                </c:pt>
                <c:pt idx="87">
                  <c:v>72.788746999479812</c:v>
                </c:pt>
                <c:pt idx="88">
                  <c:v>71.873135617179571</c:v>
                </c:pt>
                <c:pt idx="89">
                  <c:v>72.618394372088133</c:v>
                </c:pt>
                <c:pt idx="90">
                  <c:v>73.482713313805263</c:v>
                </c:pt>
                <c:pt idx="91">
                  <c:v>73.205872624082389</c:v>
                </c:pt>
                <c:pt idx="92">
                  <c:v>73.324875604860608</c:v>
                </c:pt>
                <c:pt idx="93">
                  <c:v>74.043934157856782</c:v>
                </c:pt>
                <c:pt idx="94">
                  <c:v>73.401288788952272</c:v>
                </c:pt>
                <c:pt idx="95">
                  <c:v>73.646817055512656</c:v>
                </c:pt>
                <c:pt idx="96">
                  <c:v>72.320284230462818</c:v>
                </c:pt>
                <c:pt idx="97">
                  <c:v>73.26098961873079</c:v>
                </c:pt>
                <c:pt idx="98">
                  <c:v>71.899437925422347</c:v>
                </c:pt>
                <c:pt idx="99">
                  <c:v>72.718601449840989</c:v>
                </c:pt>
                <c:pt idx="100">
                  <c:v>72.55075516010821</c:v>
                </c:pt>
                <c:pt idx="101">
                  <c:v>72.701065139024124</c:v>
                </c:pt>
                <c:pt idx="102">
                  <c:v>73.001691849296606</c:v>
                </c:pt>
                <c:pt idx="103">
                  <c:v>72.440529272693112</c:v>
                </c:pt>
                <c:pt idx="104">
                  <c:v>72.063515785140595</c:v>
                </c:pt>
                <c:pt idx="105">
                  <c:v>72.811293887388771</c:v>
                </c:pt>
                <c:pt idx="106">
                  <c:v>71.499900766053457</c:v>
                </c:pt>
                <c:pt idx="107">
                  <c:v>72.032203009418524</c:v>
                </c:pt>
                <c:pt idx="108">
                  <c:v>71.855600783308404</c:v>
                </c:pt>
                <c:pt idx="109">
                  <c:v>71.637670404007039</c:v>
                </c:pt>
                <c:pt idx="110">
                  <c:v>71.774189455834716</c:v>
                </c:pt>
                <c:pt idx="111">
                  <c:v>72.508167741940994</c:v>
                </c:pt>
                <c:pt idx="112">
                  <c:v>72.863903489469322</c:v>
                </c:pt>
                <c:pt idx="113">
                  <c:v>72.57705924394304</c:v>
                </c:pt>
                <c:pt idx="114">
                  <c:v>72.679771088498043</c:v>
                </c:pt>
                <c:pt idx="115">
                  <c:v>71.984607777397002</c:v>
                </c:pt>
                <c:pt idx="116">
                  <c:v>72.738642985432577</c:v>
                </c:pt>
                <c:pt idx="117">
                  <c:v>71.929497790664186</c:v>
                </c:pt>
                <c:pt idx="118">
                  <c:v>70.861175330735065</c:v>
                </c:pt>
                <c:pt idx="119">
                  <c:v>71.789219189670831</c:v>
                </c:pt>
                <c:pt idx="120">
                  <c:v>71.95079024967184</c:v>
                </c:pt>
                <c:pt idx="121">
                  <c:v>72.407962764860571</c:v>
                </c:pt>
                <c:pt idx="122">
                  <c:v>71.374657281409966</c:v>
                </c:pt>
                <c:pt idx="123">
                  <c:v>71.815521278037167</c:v>
                </c:pt>
                <c:pt idx="124">
                  <c:v>72.107353835241895</c:v>
                </c:pt>
                <c:pt idx="125">
                  <c:v>71.030245755589235</c:v>
                </c:pt>
                <c:pt idx="126">
                  <c:v>71.815521278037167</c:v>
                </c:pt>
                <c:pt idx="127">
                  <c:v>71.363385444438094</c:v>
                </c:pt>
                <c:pt idx="128">
                  <c:v>71.984607777397002</c:v>
                </c:pt>
                <c:pt idx="129">
                  <c:v>72.469338194617336</c:v>
                </c:pt>
                <c:pt idx="130">
                  <c:v>71.727847918163505</c:v>
                </c:pt>
                <c:pt idx="131">
                  <c:v>71.302016776295986</c:v>
                </c:pt>
                <c:pt idx="132">
                  <c:v>72.683528858836297</c:v>
                </c:pt>
                <c:pt idx="133">
                  <c:v>72.650961562629831</c:v>
                </c:pt>
                <c:pt idx="134">
                  <c:v>72.335314781971675</c:v>
                </c:pt>
                <c:pt idx="135">
                  <c:v>71.5499985974498</c:v>
                </c:pt>
                <c:pt idx="136">
                  <c:v>72.276445250453506</c:v>
                </c:pt>
                <c:pt idx="137">
                  <c:v>71.774189455834716</c:v>
                </c:pt>
                <c:pt idx="138">
                  <c:v>72.005900353300561</c:v>
                </c:pt>
                <c:pt idx="139">
                  <c:v>71.573795154945671</c:v>
                </c:pt>
                <c:pt idx="140">
                  <c:v>71.83305604189907</c:v>
                </c:pt>
                <c:pt idx="141">
                  <c:v>72.756179361902142</c:v>
                </c:pt>
                <c:pt idx="142">
                  <c:v>71.462327556585691</c:v>
                </c:pt>
                <c:pt idx="143">
                  <c:v>71.380919418529302</c:v>
                </c:pt>
                <c:pt idx="144">
                  <c:v>72.157454698358876</c:v>
                </c:pt>
                <c:pt idx="145">
                  <c:v>71.903195403656241</c:v>
                </c:pt>
                <c:pt idx="146">
                  <c:v>71.830551073758514</c:v>
                </c:pt>
                <c:pt idx="147">
                  <c:v>72.513178017051587</c:v>
                </c:pt>
                <c:pt idx="148">
                  <c:v>72.469338194617336</c:v>
                </c:pt>
                <c:pt idx="149">
                  <c:v>72.455560004251595</c:v>
                </c:pt>
                <c:pt idx="150">
                  <c:v>72.642193462479113</c:v>
                </c:pt>
                <c:pt idx="151">
                  <c:v>71.459822680954673</c:v>
                </c:pt>
                <c:pt idx="152">
                  <c:v>71.398453423249549</c:v>
                </c:pt>
                <c:pt idx="153">
                  <c:v>71.81301631427219</c:v>
                </c:pt>
                <c:pt idx="154">
                  <c:v>72.536976857987028</c:v>
                </c:pt>
                <c:pt idx="155">
                  <c:v>72.451802319253758</c:v>
                </c:pt>
                <c:pt idx="156">
                  <c:v>72.665992609287045</c:v>
                </c:pt>
                <c:pt idx="157">
                  <c:v>72.43426647451922</c:v>
                </c:pt>
                <c:pt idx="158">
                  <c:v>72.072283379843</c:v>
                </c:pt>
                <c:pt idx="159">
                  <c:v>72.679771088498043</c:v>
                </c:pt>
                <c:pt idx="160">
                  <c:v>72.510672879185108</c:v>
                </c:pt>
                <c:pt idx="161">
                  <c:v>72.811293887388771</c:v>
                </c:pt>
                <c:pt idx="162">
                  <c:v>72.154949649262974</c:v>
                </c:pt>
                <c:pt idx="163">
                  <c:v>72.416730660423255</c:v>
                </c:pt>
                <c:pt idx="164">
                  <c:v>72.258909712052301</c:v>
                </c:pt>
                <c:pt idx="165">
                  <c:v>72.642193462479113</c:v>
                </c:pt>
                <c:pt idx="166">
                  <c:v>71.924487806874069</c:v>
                </c:pt>
                <c:pt idx="167">
                  <c:v>71.75164489727328</c:v>
                </c:pt>
                <c:pt idx="168">
                  <c:v>71.174270956137946</c:v>
                </c:pt>
                <c:pt idx="169">
                  <c:v>72.481863838630886</c:v>
                </c:pt>
                <c:pt idx="170">
                  <c:v>72.058505734462543</c:v>
                </c:pt>
                <c:pt idx="171">
                  <c:v>72.311516419143103</c:v>
                </c:pt>
                <c:pt idx="172">
                  <c:v>72.324041866231823</c:v>
                </c:pt>
                <c:pt idx="173">
                  <c:v>73.094386901003631</c:v>
                </c:pt>
                <c:pt idx="174">
                  <c:v>72.422993447655813</c:v>
                </c:pt>
                <c:pt idx="175">
                  <c:v>72.133656757201237</c:v>
                </c:pt>
                <c:pt idx="176">
                  <c:v>73.341160333021691</c:v>
                </c:pt>
                <c:pt idx="177">
                  <c:v>72.692296995098616</c:v>
                </c:pt>
                <c:pt idx="178">
                  <c:v>72.499399766510919</c:v>
                </c:pt>
                <c:pt idx="179">
                  <c:v>71.5499985974498</c:v>
                </c:pt>
                <c:pt idx="180">
                  <c:v>72.545744866236319</c:v>
                </c:pt>
                <c:pt idx="181">
                  <c:v>71.982102771434526</c:v>
                </c:pt>
                <c:pt idx="182">
                  <c:v>72.599605656377122</c:v>
                </c:pt>
                <c:pt idx="183">
                  <c:v>72.585827287201724</c:v>
                </c:pt>
                <c:pt idx="184">
                  <c:v>71.835561010666751</c:v>
                </c:pt>
                <c:pt idx="185">
                  <c:v>71.444793440300032</c:v>
                </c:pt>
                <c:pt idx="186">
                  <c:v>72.128646671513806</c:v>
                </c:pt>
                <c:pt idx="187">
                  <c:v>72.250141954341743</c:v>
                </c:pt>
                <c:pt idx="188">
                  <c:v>71.521192313847905</c:v>
                </c:pt>
                <c:pt idx="189">
                  <c:v>72.592090179937529</c:v>
                </c:pt>
                <c:pt idx="190">
                  <c:v>72.703570324404353</c:v>
                </c:pt>
                <c:pt idx="191">
                  <c:v>72.881440084765373</c:v>
                </c:pt>
                <c:pt idx="192">
                  <c:v>72.195030509799849</c:v>
                </c:pt>
                <c:pt idx="193">
                  <c:v>72.087313560011964</c:v>
                </c:pt>
                <c:pt idx="194">
                  <c:v>72.146181982356381</c:v>
                </c:pt>
                <c:pt idx="195">
                  <c:v>71.988365287509438</c:v>
                </c:pt>
                <c:pt idx="196">
                  <c:v>71.846833377853372</c:v>
                </c:pt>
                <c:pt idx="197">
                  <c:v>71.970830252347355</c:v>
                </c:pt>
                <c:pt idx="198">
                  <c:v>71.704050995465906</c:v>
                </c:pt>
                <c:pt idx="199">
                  <c:v>71.561270643969635</c:v>
                </c:pt>
                <c:pt idx="200">
                  <c:v>72.172485006056277</c:v>
                </c:pt>
                <c:pt idx="201">
                  <c:v>71.869378150200575</c:v>
                </c:pt>
                <c:pt idx="202">
                  <c:v>71.692778788617417</c:v>
                </c:pt>
                <c:pt idx="203">
                  <c:v>71.640175324016226</c:v>
                </c:pt>
                <c:pt idx="204">
                  <c:v>71.979597766099175</c:v>
                </c:pt>
                <c:pt idx="205">
                  <c:v>73.284790232707067</c:v>
                </c:pt>
                <c:pt idx="206">
                  <c:v>72.438024152956061</c:v>
                </c:pt>
                <c:pt idx="207">
                  <c:v>72.394184658737785</c:v>
                </c:pt>
                <c:pt idx="208">
                  <c:v>72.253899563852514</c:v>
                </c:pt>
                <c:pt idx="209">
                  <c:v>72.464327941384653</c:v>
                </c:pt>
                <c:pt idx="210">
                  <c:v>72.285213031139421</c:v>
                </c:pt>
                <c:pt idx="211">
                  <c:v>71.18554258075882</c:v>
                </c:pt>
                <c:pt idx="212">
                  <c:v>71.567532897505032</c:v>
                </c:pt>
                <c:pt idx="213">
                  <c:v>70.988917166555126</c:v>
                </c:pt>
                <c:pt idx="214">
                  <c:v>72.23010139404353</c:v>
                </c:pt>
                <c:pt idx="215">
                  <c:v>72.221333661498505</c:v>
                </c:pt>
                <c:pt idx="216">
                  <c:v>71.73912016439219</c:v>
                </c:pt>
                <c:pt idx="217">
                  <c:v>72.168727427022517</c:v>
                </c:pt>
                <c:pt idx="218">
                  <c:v>71.51242520046398</c:v>
                </c:pt>
                <c:pt idx="219">
                  <c:v>71.701546059517455</c:v>
                </c:pt>
                <c:pt idx="220">
                  <c:v>72.084808528423139</c:v>
                </c:pt>
                <c:pt idx="221">
                  <c:v>71.975840259264857</c:v>
                </c:pt>
                <c:pt idx="222">
                  <c:v>71.302016776295986</c:v>
                </c:pt>
                <c:pt idx="223">
                  <c:v>72.387921889482641</c:v>
                </c:pt>
                <c:pt idx="224">
                  <c:v>72.166222375114089</c:v>
                </c:pt>
                <c:pt idx="225">
                  <c:v>71.815521278037167</c:v>
                </c:pt>
                <c:pt idx="226">
                  <c:v>70.992674303983165</c:v>
                </c:pt>
                <c:pt idx="227">
                  <c:v>71.266949134370876</c:v>
                </c:pt>
                <c:pt idx="228">
                  <c:v>70.767248547330709</c:v>
                </c:pt>
                <c:pt idx="229">
                  <c:v>71.675244269787967</c:v>
                </c:pt>
                <c:pt idx="230">
                  <c:v>71.765422121486409</c:v>
                </c:pt>
                <c:pt idx="231">
                  <c:v>72.44303439305726</c:v>
                </c:pt>
                <c:pt idx="232">
                  <c:v>71.83305604189907</c:v>
                </c:pt>
                <c:pt idx="233">
                  <c:v>72.005900353300561</c:v>
                </c:pt>
                <c:pt idx="234">
                  <c:v>71.330822430949908</c:v>
                </c:pt>
                <c:pt idx="235">
                  <c:v>71.600096678867018</c:v>
                </c:pt>
                <c:pt idx="236">
                  <c:v>71.699041124196114</c:v>
                </c:pt>
                <c:pt idx="237">
                  <c:v>71.453560494616013</c:v>
                </c:pt>
                <c:pt idx="238">
                  <c:v>71.299511940667543</c:v>
                </c:pt>
                <c:pt idx="239">
                  <c:v>71.924487806874069</c:v>
                </c:pt>
                <c:pt idx="240">
                  <c:v>71.067817347821958</c:v>
                </c:pt>
                <c:pt idx="241">
                  <c:v>71.39469613394472</c:v>
                </c:pt>
                <c:pt idx="242">
                  <c:v>71.310783705915071</c:v>
                </c:pt>
                <c:pt idx="243">
                  <c:v>71.216852715559796</c:v>
                </c:pt>
                <c:pt idx="244">
                  <c:v>71.864368196412386</c:v>
                </c:pt>
                <c:pt idx="245">
                  <c:v>71.628903188892082</c:v>
                </c:pt>
                <c:pt idx="246">
                  <c:v>71.774189455834716</c:v>
                </c:pt>
                <c:pt idx="247">
                  <c:v>71.059050630387588</c:v>
                </c:pt>
                <c:pt idx="248">
                  <c:v>71.365890296005801</c:v>
                </c:pt>
                <c:pt idx="249">
                  <c:v>71.22311475424047</c:v>
                </c:pt>
                <c:pt idx="250">
                  <c:v>69.977046008629316</c:v>
                </c:pt>
                <c:pt idx="251">
                  <c:v>71.611368781637523</c:v>
                </c:pt>
                <c:pt idx="252">
                  <c:v>70.714649932501032</c:v>
                </c:pt>
                <c:pt idx="253">
                  <c:v>71.273211204302967</c:v>
                </c:pt>
                <c:pt idx="254">
                  <c:v>71.380919418529302</c:v>
                </c:pt>
                <c:pt idx="255">
                  <c:v>71.89317546482846</c:v>
                </c:pt>
                <c:pt idx="256">
                  <c:v>72.168727427022517</c:v>
                </c:pt>
                <c:pt idx="257">
                  <c:v>72.28270795016023</c:v>
                </c:pt>
                <c:pt idx="258">
                  <c:v>71.742877582617467</c:v>
                </c:pt>
                <c:pt idx="259">
                  <c:v>71.556260843953851</c:v>
                </c:pt>
                <c:pt idx="260">
                  <c:v>72.337819876077617</c:v>
                </c:pt>
                <c:pt idx="261">
                  <c:v>72.198788098677468</c:v>
                </c:pt>
                <c:pt idx="262">
                  <c:v>71.517434978601869</c:v>
                </c:pt>
                <c:pt idx="263">
                  <c:v>71.780451842200534</c:v>
                </c:pt>
                <c:pt idx="264">
                  <c:v>71.964567747213778</c:v>
                </c:pt>
                <c:pt idx="265">
                  <c:v>71.22311475424047</c:v>
                </c:pt>
                <c:pt idx="266">
                  <c:v>71.864368196412386</c:v>
                </c:pt>
                <c:pt idx="267">
                  <c:v>72.43426647451922</c:v>
                </c:pt>
                <c:pt idx="268">
                  <c:v>70.377774863110872</c:v>
                </c:pt>
                <c:pt idx="269">
                  <c:v>71.403463144509658</c:v>
                </c:pt>
                <c:pt idx="270">
                  <c:v>71.721585564616902</c:v>
                </c:pt>
                <c:pt idx="271">
                  <c:v>71.712818276214549</c:v>
                </c:pt>
                <c:pt idx="272">
                  <c:v>71.582562321929245</c:v>
                </c:pt>
                <c:pt idx="273">
                  <c:v>71.503658094738512</c:v>
                </c:pt>
                <c:pt idx="274">
                  <c:v>71.558765743648195</c:v>
                </c:pt>
                <c:pt idx="275">
                  <c:v>70.653285230192139</c:v>
                </c:pt>
                <c:pt idx="276">
                  <c:v>71.51242520046398</c:v>
                </c:pt>
                <c:pt idx="277">
                  <c:v>70.705883523485625</c:v>
                </c:pt>
                <c:pt idx="278">
                  <c:v>71.142960954153139</c:v>
                </c:pt>
                <c:pt idx="279">
                  <c:v>70.988917166555126</c:v>
                </c:pt>
                <c:pt idx="280">
                  <c:v>71.605106500755952</c:v>
                </c:pt>
                <c:pt idx="281">
                  <c:v>72.058505734462543</c:v>
                </c:pt>
                <c:pt idx="282">
                  <c:v>71.374657281409966</c:v>
                </c:pt>
                <c:pt idx="283">
                  <c:v>71.231881614952499</c:v>
                </c:pt>
                <c:pt idx="284">
                  <c:v>72.122384067922553</c:v>
                </c:pt>
                <c:pt idx="285">
                  <c:v>71.765422121486409</c:v>
                </c:pt>
                <c:pt idx="286">
                  <c:v>70.887474987576255</c:v>
                </c:pt>
                <c:pt idx="287">
                  <c:v>71.742877582617467</c:v>
                </c:pt>
                <c:pt idx="288">
                  <c:v>71.49113367126931</c:v>
                </c:pt>
                <c:pt idx="289">
                  <c:v>71.791724147501924</c:v>
                </c:pt>
                <c:pt idx="290">
                  <c:v>72.515683155549922</c:v>
                </c:pt>
                <c:pt idx="291">
                  <c:v>71.953295247819085</c:v>
                </c:pt>
                <c:pt idx="292">
                  <c:v>72.258909712052301</c:v>
                </c:pt>
                <c:pt idx="293">
                  <c:v>72.701065139024124</c:v>
                </c:pt>
                <c:pt idx="294">
                  <c:v>71.736615219692581</c:v>
                </c:pt>
                <c:pt idx="295">
                  <c:v>71.497395881048917</c:v>
                </c:pt>
                <c:pt idx="296">
                  <c:v>71.890670481684552</c:v>
                </c:pt>
                <c:pt idx="297">
                  <c:v>72.18375775159987</c:v>
                </c:pt>
                <c:pt idx="298">
                  <c:v>71.266949134370876</c:v>
                </c:pt>
                <c:pt idx="299">
                  <c:v>71.924487806874069</c:v>
                </c:pt>
                <c:pt idx="300">
                  <c:v>71.742877582617467</c:v>
                </c:pt>
                <c:pt idx="301">
                  <c:v>72.805030857888795</c:v>
                </c:pt>
                <c:pt idx="302">
                  <c:v>73.07434465513343</c:v>
                </c:pt>
                <c:pt idx="303">
                  <c:v>71.538726563586351</c:v>
                </c:pt>
                <c:pt idx="304">
                  <c:v>71.578804963712614</c:v>
                </c:pt>
                <c:pt idx="305">
                  <c:v>72.501904901569617</c:v>
                </c:pt>
                <c:pt idx="306">
                  <c:v>72.288970653776929</c:v>
                </c:pt>
                <c:pt idx="307">
                  <c:v>72.440529272693112</c:v>
                </c:pt>
                <c:pt idx="308">
                  <c:v>72.420488332294354</c:v>
                </c:pt>
                <c:pt idx="309">
                  <c:v>72.247636882118456</c:v>
                </c:pt>
                <c:pt idx="310">
                  <c:v>72.464327941384653</c:v>
                </c:pt>
                <c:pt idx="311">
                  <c:v>72.394184658737785</c:v>
                </c:pt>
                <c:pt idx="312">
                  <c:v>72.225091260219983</c:v>
                </c:pt>
                <c:pt idx="313">
                  <c:v>72.23010139404353</c:v>
                </c:pt>
                <c:pt idx="314">
                  <c:v>72.337819876077617</c:v>
                </c:pt>
                <c:pt idx="315">
                  <c:v>72.317779140732469</c:v>
                </c:pt>
                <c:pt idx="316">
                  <c:v>72.344082614076584</c:v>
                </c:pt>
                <c:pt idx="317">
                  <c:v>72.078545952178075</c:v>
                </c:pt>
                <c:pt idx="318">
                  <c:v>71.899437925422347</c:v>
                </c:pt>
                <c:pt idx="319">
                  <c:v>72.458065128364211</c:v>
                </c:pt>
                <c:pt idx="320">
                  <c:v>72.679771088498043</c:v>
                </c:pt>
                <c:pt idx="321">
                  <c:v>73.054302449275312</c:v>
                </c:pt>
                <c:pt idx="322">
                  <c:v>73.30232756332849</c:v>
                </c:pt>
                <c:pt idx="323">
                  <c:v>73.001691849296606</c:v>
                </c:pt>
                <c:pt idx="324">
                  <c:v>72.515683155549922</c:v>
                </c:pt>
                <c:pt idx="325">
                  <c:v>72.107353835241895</c:v>
                </c:pt>
                <c:pt idx="326">
                  <c:v>72.317779140732469</c:v>
                </c:pt>
                <c:pt idx="327">
                  <c:v>72.174990059527744</c:v>
                </c:pt>
                <c:pt idx="328">
                  <c:v>71.855600783308404</c:v>
                </c:pt>
                <c:pt idx="329">
                  <c:v>71.844328406273164</c:v>
                </c:pt>
                <c:pt idx="330">
                  <c:v>71.39469613394472</c:v>
                </c:pt>
                <c:pt idx="331">
                  <c:v>72.309011331602917</c:v>
                </c:pt>
                <c:pt idx="332">
                  <c:v>72.107353835241895</c:v>
                </c:pt>
                <c:pt idx="333">
                  <c:v>72.624657285138795</c:v>
                </c:pt>
                <c:pt idx="334">
                  <c:v>73.39878342942778</c:v>
                </c:pt>
                <c:pt idx="335">
                  <c:v>72.203798219374292</c:v>
                </c:pt>
                <c:pt idx="336">
                  <c:v>72.585827287201724</c:v>
                </c:pt>
                <c:pt idx="337">
                  <c:v>72.800020437101338</c:v>
                </c:pt>
                <c:pt idx="338">
                  <c:v>72.870166555703264</c:v>
                </c:pt>
                <c:pt idx="339">
                  <c:v>72.481863838630886</c:v>
                </c:pt>
                <c:pt idx="340">
                  <c:v>72.940313164488842</c:v>
                </c:pt>
                <c:pt idx="341">
                  <c:v>72.212565936607163</c:v>
                </c:pt>
                <c:pt idx="342">
                  <c:v>72.411720433448792</c:v>
                </c:pt>
                <c:pt idx="343">
                  <c:v>72.966618269163916</c:v>
                </c:pt>
                <c:pt idx="344">
                  <c:v>72.273940171664478</c:v>
                </c:pt>
                <c:pt idx="345">
                  <c:v>72.501904901569617</c:v>
                </c:pt>
                <c:pt idx="346">
                  <c:v>73.096892184551734</c:v>
                </c:pt>
                <c:pt idx="347">
                  <c:v>72.324041866231823</c:v>
                </c:pt>
                <c:pt idx="348">
                  <c:v>73.25848429422993</c:v>
                </c:pt>
                <c:pt idx="349">
                  <c:v>72.723611829984492</c:v>
                </c:pt>
                <c:pt idx="350">
                  <c:v>73.103155396158471</c:v>
                </c:pt>
                <c:pt idx="351">
                  <c:v>73.686903873422239</c:v>
                </c:pt>
                <c:pt idx="352">
                  <c:v>73.313601577766349</c:v>
                </c:pt>
                <c:pt idx="353">
                  <c:v>72.843861703785592</c:v>
                </c:pt>
                <c:pt idx="354">
                  <c:v>73.559127699447174</c:v>
                </c:pt>
                <c:pt idx="355">
                  <c:v>72.181252695938213</c:v>
                </c:pt>
                <c:pt idx="356">
                  <c:v>72.712338478173734</c:v>
                </c:pt>
                <c:pt idx="357">
                  <c:v>72.017172911767943</c:v>
                </c:pt>
                <c:pt idx="358">
                  <c:v>72.887703161940635</c:v>
                </c:pt>
                <c:pt idx="359">
                  <c:v>72.639688292411037</c:v>
                </c:pt>
                <c:pt idx="360">
                  <c:v>73.447638052889488</c:v>
                </c:pt>
                <c:pt idx="361">
                  <c:v>72.390426996715306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F-4601-A29B-6FAA85ABF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473535"/>
        <c:axId val="1114468735"/>
      </c:scatterChart>
      <c:valAx>
        <c:axId val="11144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68735"/>
        <c:crosses val="autoZero"/>
        <c:crossBetween val="midCat"/>
      </c:valAx>
      <c:valAx>
        <c:axId val="11144687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7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counts</c:v>
                </c:pt>
              </c:strCache>
            </c:strRef>
          </c:tx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Sheet2!$D$4:$D$365</c:f>
              <c:numCache>
                <c:formatCode>General</c:formatCode>
                <c:ptCount val="362"/>
                <c:pt idx="0">
                  <c:v>8166358</c:v>
                </c:pt>
                <c:pt idx="1">
                  <c:v>8166488</c:v>
                </c:pt>
                <c:pt idx="2">
                  <c:v>8166973</c:v>
                </c:pt>
                <c:pt idx="3">
                  <c:v>8167230</c:v>
                </c:pt>
                <c:pt idx="4">
                  <c:v>8166251</c:v>
                </c:pt>
                <c:pt idx="5">
                  <c:v>8167253</c:v>
                </c:pt>
                <c:pt idx="6">
                  <c:v>8166647</c:v>
                </c:pt>
                <c:pt idx="7">
                  <c:v>8166899</c:v>
                </c:pt>
                <c:pt idx="8">
                  <c:v>8166584</c:v>
                </c:pt>
                <c:pt idx="9">
                  <c:v>8167486</c:v>
                </c:pt>
                <c:pt idx="10">
                  <c:v>8167036</c:v>
                </c:pt>
                <c:pt idx="11">
                  <c:v>8166903</c:v>
                </c:pt>
                <c:pt idx="12">
                  <c:v>8167422</c:v>
                </c:pt>
                <c:pt idx="13">
                  <c:v>8167141</c:v>
                </c:pt>
                <c:pt idx="14">
                  <c:v>8166460</c:v>
                </c:pt>
                <c:pt idx="15">
                  <c:v>8166948</c:v>
                </c:pt>
                <c:pt idx="16">
                  <c:v>8167300</c:v>
                </c:pt>
                <c:pt idx="17">
                  <c:v>8167111</c:v>
                </c:pt>
                <c:pt idx="18">
                  <c:v>8166721</c:v>
                </c:pt>
                <c:pt idx="19">
                  <c:v>8167102</c:v>
                </c:pt>
                <c:pt idx="20">
                  <c:v>8167440</c:v>
                </c:pt>
                <c:pt idx="21">
                  <c:v>8167234</c:v>
                </c:pt>
                <c:pt idx="22">
                  <c:v>8166999</c:v>
                </c:pt>
                <c:pt idx="23">
                  <c:v>8166707</c:v>
                </c:pt>
                <c:pt idx="24">
                  <c:v>8166936</c:v>
                </c:pt>
                <c:pt idx="25">
                  <c:v>8166983</c:v>
                </c:pt>
                <c:pt idx="26">
                  <c:v>8167053</c:v>
                </c:pt>
                <c:pt idx="27">
                  <c:v>8166864</c:v>
                </c:pt>
                <c:pt idx="28">
                  <c:v>8166467</c:v>
                </c:pt>
                <c:pt idx="29">
                  <c:v>8167311</c:v>
                </c:pt>
                <c:pt idx="30">
                  <c:v>8167132</c:v>
                </c:pt>
                <c:pt idx="31">
                  <c:v>8166945</c:v>
                </c:pt>
                <c:pt idx="32">
                  <c:v>8166796</c:v>
                </c:pt>
                <c:pt idx="33">
                  <c:v>8166486</c:v>
                </c:pt>
                <c:pt idx="34">
                  <c:v>8166656</c:v>
                </c:pt>
                <c:pt idx="35">
                  <c:v>8167232</c:v>
                </c:pt>
                <c:pt idx="36">
                  <c:v>8166502</c:v>
                </c:pt>
                <c:pt idx="37">
                  <c:v>8166495</c:v>
                </c:pt>
                <c:pt idx="38">
                  <c:v>8166726</c:v>
                </c:pt>
                <c:pt idx="39">
                  <c:v>8167253</c:v>
                </c:pt>
                <c:pt idx="40">
                  <c:v>8166668</c:v>
                </c:pt>
                <c:pt idx="41">
                  <c:v>8166309</c:v>
                </c:pt>
                <c:pt idx="42">
                  <c:v>8166754</c:v>
                </c:pt>
                <c:pt idx="43">
                  <c:v>8166316</c:v>
                </c:pt>
                <c:pt idx="44">
                  <c:v>8166519</c:v>
                </c:pt>
                <c:pt idx="45">
                  <c:v>8166586</c:v>
                </c:pt>
                <c:pt idx="46">
                  <c:v>8166528</c:v>
                </c:pt>
                <c:pt idx="47">
                  <c:v>8167125</c:v>
                </c:pt>
                <c:pt idx="48">
                  <c:v>8166554</c:v>
                </c:pt>
                <c:pt idx="49">
                  <c:v>8166661</c:v>
                </c:pt>
                <c:pt idx="50">
                  <c:v>8166596</c:v>
                </c:pt>
                <c:pt idx="51">
                  <c:v>8166377</c:v>
                </c:pt>
                <c:pt idx="52">
                  <c:v>8166693</c:v>
                </c:pt>
                <c:pt idx="53">
                  <c:v>8166836</c:v>
                </c:pt>
                <c:pt idx="54">
                  <c:v>8166843</c:v>
                </c:pt>
                <c:pt idx="55">
                  <c:v>8166987</c:v>
                </c:pt>
                <c:pt idx="56">
                  <c:v>8166649</c:v>
                </c:pt>
                <c:pt idx="57">
                  <c:v>8166948</c:v>
                </c:pt>
                <c:pt idx="58">
                  <c:v>8166274</c:v>
                </c:pt>
                <c:pt idx="59">
                  <c:v>8166148</c:v>
                </c:pt>
                <c:pt idx="60">
                  <c:v>8166635</c:v>
                </c:pt>
                <c:pt idx="61">
                  <c:v>8166022</c:v>
                </c:pt>
                <c:pt idx="62">
                  <c:v>8165908</c:v>
                </c:pt>
                <c:pt idx="63">
                  <c:v>8166528</c:v>
                </c:pt>
                <c:pt idx="64">
                  <c:v>8166761</c:v>
                </c:pt>
                <c:pt idx="65">
                  <c:v>8166892</c:v>
                </c:pt>
                <c:pt idx="66">
                  <c:v>8167183</c:v>
                </c:pt>
                <c:pt idx="67">
                  <c:v>8167531</c:v>
                </c:pt>
                <c:pt idx="68">
                  <c:v>8166906</c:v>
                </c:pt>
                <c:pt idx="69">
                  <c:v>8166801</c:v>
                </c:pt>
                <c:pt idx="70">
                  <c:v>8166766</c:v>
                </c:pt>
                <c:pt idx="71">
                  <c:v>8166929</c:v>
                </c:pt>
                <c:pt idx="72">
                  <c:v>8166952</c:v>
                </c:pt>
                <c:pt idx="73">
                  <c:v>8166419</c:v>
                </c:pt>
                <c:pt idx="74">
                  <c:v>8166246</c:v>
                </c:pt>
                <c:pt idx="75">
                  <c:v>8166367</c:v>
                </c:pt>
                <c:pt idx="76">
                  <c:v>8166812</c:v>
                </c:pt>
                <c:pt idx="77">
                  <c:v>8167491</c:v>
                </c:pt>
                <c:pt idx="78">
                  <c:v>8166570</c:v>
                </c:pt>
                <c:pt idx="79">
                  <c:v>8166857</c:v>
                </c:pt>
                <c:pt idx="80">
                  <c:v>8167498</c:v>
                </c:pt>
                <c:pt idx="81">
                  <c:v>8166955</c:v>
                </c:pt>
                <c:pt idx="82">
                  <c:v>8167906</c:v>
                </c:pt>
                <c:pt idx="83">
                  <c:v>8167545</c:v>
                </c:pt>
                <c:pt idx="84">
                  <c:v>8167710</c:v>
                </c:pt>
                <c:pt idx="85">
                  <c:v>8167025</c:v>
                </c:pt>
                <c:pt idx="86">
                  <c:v>8167116</c:v>
                </c:pt>
                <c:pt idx="87">
                  <c:v>8166679</c:v>
                </c:pt>
                <c:pt idx="88">
                  <c:v>8167410</c:v>
                </c:pt>
                <c:pt idx="89">
                  <c:v>8166815</c:v>
                </c:pt>
                <c:pt idx="90">
                  <c:v>8166125</c:v>
                </c:pt>
                <c:pt idx="91">
                  <c:v>8166346</c:v>
                </c:pt>
                <c:pt idx="92">
                  <c:v>8166251</c:v>
                </c:pt>
                <c:pt idx="93">
                  <c:v>8165677</c:v>
                </c:pt>
                <c:pt idx="94">
                  <c:v>8166190</c:v>
                </c:pt>
                <c:pt idx="95">
                  <c:v>8165994</c:v>
                </c:pt>
                <c:pt idx="96">
                  <c:v>8167053</c:v>
                </c:pt>
                <c:pt idx="97">
                  <c:v>8166302</c:v>
                </c:pt>
                <c:pt idx="98">
                  <c:v>8167389</c:v>
                </c:pt>
                <c:pt idx="99">
                  <c:v>8166735</c:v>
                </c:pt>
                <c:pt idx="100">
                  <c:v>8166869</c:v>
                </c:pt>
                <c:pt idx="101">
                  <c:v>8166749</c:v>
                </c:pt>
                <c:pt idx="102">
                  <c:v>8166509</c:v>
                </c:pt>
                <c:pt idx="103">
                  <c:v>8166957</c:v>
                </c:pt>
                <c:pt idx="104">
                  <c:v>8167258</c:v>
                </c:pt>
                <c:pt idx="105">
                  <c:v>8166661</c:v>
                </c:pt>
                <c:pt idx="106">
                  <c:v>8167708</c:v>
                </c:pt>
                <c:pt idx="107">
                  <c:v>8167283</c:v>
                </c:pt>
                <c:pt idx="108">
                  <c:v>8167424</c:v>
                </c:pt>
                <c:pt idx="109">
                  <c:v>8167598</c:v>
                </c:pt>
                <c:pt idx="110">
                  <c:v>8167489</c:v>
                </c:pt>
                <c:pt idx="111">
                  <c:v>8166903</c:v>
                </c:pt>
                <c:pt idx="112">
                  <c:v>8166619</c:v>
                </c:pt>
                <c:pt idx="113">
                  <c:v>8166848</c:v>
                </c:pt>
                <c:pt idx="114">
                  <c:v>8166766</c:v>
                </c:pt>
                <c:pt idx="115">
                  <c:v>8167321</c:v>
                </c:pt>
                <c:pt idx="116">
                  <c:v>8166719</c:v>
                </c:pt>
                <c:pt idx="117">
                  <c:v>8167365</c:v>
                </c:pt>
                <c:pt idx="118">
                  <c:v>8168218</c:v>
                </c:pt>
                <c:pt idx="119">
                  <c:v>8167477</c:v>
                </c:pt>
                <c:pt idx="120">
                  <c:v>8167348</c:v>
                </c:pt>
                <c:pt idx="121">
                  <c:v>8166983</c:v>
                </c:pt>
                <c:pt idx="122">
                  <c:v>8167808</c:v>
                </c:pt>
                <c:pt idx="123">
                  <c:v>8167456</c:v>
                </c:pt>
                <c:pt idx="124">
                  <c:v>8167223</c:v>
                </c:pt>
                <c:pt idx="125">
                  <c:v>8168083</c:v>
                </c:pt>
                <c:pt idx="126">
                  <c:v>8167456</c:v>
                </c:pt>
                <c:pt idx="127">
                  <c:v>8167817</c:v>
                </c:pt>
                <c:pt idx="128">
                  <c:v>8167321</c:v>
                </c:pt>
                <c:pt idx="129">
                  <c:v>8166934</c:v>
                </c:pt>
                <c:pt idx="130">
                  <c:v>8167526</c:v>
                </c:pt>
                <c:pt idx="131">
                  <c:v>8167866</c:v>
                </c:pt>
                <c:pt idx="132">
                  <c:v>8166763</c:v>
                </c:pt>
                <c:pt idx="133">
                  <c:v>8166789</c:v>
                </c:pt>
                <c:pt idx="134">
                  <c:v>8167041</c:v>
                </c:pt>
                <c:pt idx="135">
                  <c:v>8167668</c:v>
                </c:pt>
                <c:pt idx="136">
                  <c:v>8167088</c:v>
                </c:pt>
                <c:pt idx="137">
                  <c:v>8167489</c:v>
                </c:pt>
                <c:pt idx="138">
                  <c:v>8167304</c:v>
                </c:pt>
                <c:pt idx="139">
                  <c:v>8167649</c:v>
                </c:pt>
                <c:pt idx="140">
                  <c:v>8167442</c:v>
                </c:pt>
                <c:pt idx="141">
                  <c:v>8166705</c:v>
                </c:pt>
                <c:pt idx="142">
                  <c:v>8167738</c:v>
                </c:pt>
                <c:pt idx="143">
                  <c:v>8167803</c:v>
                </c:pt>
                <c:pt idx="144">
                  <c:v>8167183</c:v>
                </c:pt>
                <c:pt idx="145">
                  <c:v>8167386</c:v>
                </c:pt>
                <c:pt idx="146">
                  <c:v>8167444</c:v>
                </c:pt>
                <c:pt idx="147">
                  <c:v>8166899</c:v>
                </c:pt>
                <c:pt idx="148">
                  <c:v>8166934</c:v>
                </c:pt>
                <c:pt idx="149">
                  <c:v>8166945</c:v>
                </c:pt>
                <c:pt idx="150">
                  <c:v>8166796</c:v>
                </c:pt>
                <c:pt idx="151">
                  <c:v>8167740</c:v>
                </c:pt>
                <c:pt idx="152">
                  <c:v>8167789</c:v>
                </c:pt>
                <c:pt idx="153">
                  <c:v>8167458</c:v>
                </c:pt>
                <c:pt idx="154">
                  <c:v>8166880</c:v>
                </c:pt>
                <c:pt idx="155">
                  <c:v>8166948</c:v>
                </c:pt>
                <c:pt idx="156">
                  <c:v>8166777</c:v>
                </c:pt>
                <c:pt idx="157">
                  <c:v>8166962</c:v>
                </c:pt>
                <c:pt idx="158">
                  <c:v>8167251</c:v>
                </c:pt>
                <c:pt idx="159">
                  <c:v>8166766</c:v>
                </c:pt>
                <c:pt idx="160">
                  <c:v>8166901</c:v>
                </c:pt>
                <c:pt idx="161">
                  <c:v>8166661</c:v>
                </c:pt>
                <c:pt idx="162">
                  <c:v>8167185</c:v>
                </c:pt>
                <c:pt idx="163">
                  <c:v>8166976</c:v>
                </c:pt>
                <c:pt idx="164">
                  <c:v>8167102</c:v>
                </c:pt>
                <c:pt idx="165">
                  <c:v>8166796</c:v>
                </c:pt>
                <c:pt idx="166">
                  <c:v>8167369</c:v>
                </c:pt>
                <c:pt idx="167">
                  <c:v>8167507</c:v>
                </c:pt>
                <c:pt idx="168">
                  <c:v>8167968</c:v>
                </c:pt>
                <c:pt idx="169">
                  <c:v>8166924</c:v>
                </c:pt>
                <c:pt idx="170">
                  <c:v>8167262</c:v>
                </c:pt>
                <c:pt idx="171">
                  <c:v>8167060</c:v>
                </c:pt>
                <c:pt idx="172">
                  <c:v>8167050</c:v>
                </c:pt>
                <c:pt idx="173">
                  <c:v>8166435</c:v>
                </c:pt>
                <c:pt idx="174">
                  <c:v>8166971</c:v>
                </c:pt>
                <c:pt idx="175">
                  <c:v>8167202</c:v>
                </c:pt>
                <c:pt idx="176">
                  <c:v>8166238</c:v>
                </c:pt>
                <c:pt idx="177">
                  <c:v>8166756</c:v>
                </c:pt>
                <c:pt idx="178">
                  <c:v>8166910</c:v>
                </c:pt>
                <c:pt idx="179">
                  <c:v>8167668</c:v>
                </c:pt>
                <c:pt idx="180">
                  <c:v>8166873</c:v>
                </c:pt>
                <c:pt idx="181">
                  <c:v>8167323</c:v>
                </c:pt>
                <c:pt idx="182">
                  <c:v>8166830</c:v>
                </c:pt>
                <c:pt idx="183">
                  <c:v>8166841</c:v>
                </c:pt>
                <c:pt idx="184">
                  <c:v>8167440</c:v>
                </c:pt>
                <c:pt idx="185">
                  <c:v>8167752</c:v>
                </c:pt>
                <c:pt idx="186">
                  <c:v>8167206</c:v>
                </c:pt>
                <c:pt idx="187">
                  <c:v>8167109</c:v>
                </c:pt>
                <c:pt idx="188">
                  <c:v>8167691</c:v>
                </c:pt>
                <c:pt idx="189">
                  <c:v>8166836</c:v>
                </c:pt>
                <c:pt idx="190">
                  <c:v>8166747</c:v>
                </c:pt>
                <c:pt idx="191">
                  <c:v>8166605</c:v>
                </c:pt>
                <c:pt idx="192">
                  <c:v>8167153</c:v>
                </c:pt>
                <c:pt idx="193">
                  <c:v>8167239</c:v>
                </c:pt>
                <c:pt idx="194">
                  <c:v>8167192</c:v>
                </c:pt>
                <c:pt idx="195">
                  <c:v>8167318</c:v>
                </c:pt>
                <c:pt idx="196">
                  <c:v>8167431</c:v>
                </c:pt>
                <c:pt idx="197">
                  <c:v>8167332</c:v>
                </c:pt>
                <c:pt idx="198">
                  <c:v>8167545</c:v>
                </c:pt>
                <c:pt idx="199">
                  <c:v>8167659</c:v>
                </c:pt>
                <c:pt idx="200">
                  <c:v>8167171</c:v>
                </c:pt>
                <c:pt idx="201">
                  <c:v>8167413</c:v>
                </c:pt>
                <c:pt idx="202">
                  <c:v>8167554</c:v>
                </c:pt>
                <c:pt idx="203">
                  <c:v>8167596</c:v>
                </c:pt>
                <c:pt idx="204">
                  <c:v>8167325</c:v>
                </c:pt>
                <c:pt idx="205">
                  <c:v>8166283</c:v>
                </c:pt>
                <c:pt idx="206">
                  <c:v>8166959</c:v>
                </c:pt>
                <c:pt idx="207">
                  <c:v>8166994</c:v>
                </c:pt>
                <c:pt idx="208">
                  <c:v>8167106</c:v>
                </c:pt>
                <c:pt idx="209">
                  <c:v>8166938</c:v>
                </c:pt>
                <c:pt idx="210">
                  <c:v>8167081</c:v>
                </c:pt>
                <c:pt idx="211">
                  <c:v>8167959</c:v>
                </c:pt>
                <c:pt idx="212">
                  <c:v>8167654</c:v>
                </c:pt>
                <c:pt idx="213">
                  <c:v>8168116</c:v>
                </c:pt>
                <c:pt idx="214">
                  <c:v>8167125</c:v>
                </c:pt>
                <c:pt idx="215">
                  <c:v>8167132</c:v>
                </c:pt>
                <c:pt idx="216">
                  <c:v>8167517</c:v>
                </c:pt>
                <c:pt idx="217">
                  <c:v>8167174</c:v>
                </c:pt>
                <c:pt idx="218">
                  <c:v>8167698</c:v>
                </c:pt>
                <c:pt idx="219">
                  <c:v>8167547</c:v>
                </c:pt>
                <c:pt idx="220">
                  <c:v>8167241</c:v>
                </c:pt>
                <c:pt idx="221">
                  <c:v>8167328</c:v>
                </c:pt>
                <c:pt idx="222">
                  <c:v>8167866</c:v>
                </c:pt>
                <c:pt idx="223">
                  <c:v>8166999</c:v>
                </c:pt>
                <c:pt idx="224">
                  <c:v>8167176</c:v>
                </c:pt>
                <c:pt idx="225">
                  <c:v>8167456</c:v>
                </c:pt>
                <c:pt idx="226">
                  <c:v>8168113</c:v>
                </c:pt>
                <c:pt idx="227">
                  <c:v>8167894</c:v>
                </c:pt>
                <c:pt idx="228">
                  <c:v>8168293</c:v>
                </c:pt>
                <c:pt idx="229">
                  <c:v>8167568</c:v>
                </c:pt>
                <c:pt idx="230">
                  <c:v>8167496</c:v>
                </c:pt>
                <c:pt idx="231">
                  <c:v>8166955</c:v>
                </c:pt>
                <c:pt idx="232">
                  <c:v>8167442</c:v>
                </c:pt>
                <c:pt idx="233">
                  <c:v>8167304</c:v>
                </c:pt>
                <c:pt idx="234">
                  <c:v>8167843</c:v>
                </c:pt>
                <c:pt idx="235">
                  <c:v>8167628</c:v>
                </c:pt>
                <c:pt idx="236">
                  <c:v>8167549</c:v>
                </c:pt>
                <c:pt idx="237">
                  <c:v>8167745</c:v>
                </c:pt>
                <c:pt idx="238">
                  <c:v>8167868</c:v>
                </c:pt>
                <c:pt idx="239">
                  <c:v>8167369</c:v>
                </c:pt>
                <c:pt idx="240">
                  <c:v>8168053</c:v>
                </c:pt>
                <c:pt idx="241">
                  <c:v>8167792</c:v>
                </c:pt>
                <c:pt idx="242">
                  <c:v>8167859</c:v>
                </c:pt>
                <c:pt idx="243">
                  <c:v>8167934</c:v>
                </c:pt>
                <c:pt idx="244">
                  <c:v>8167417</c:v>
                </c:pt>
                <c:pt idx="245">
                  <c:v>8167605</c:v>
                </c:pt>
                <c:pt idx="246">
                  <c:v>8167489</c:v>
                </c:pt>
                <c:pt idx="247">
                  <c:v>8168060</c:v>
                </c:pt>
                <c:pt idx="248">
                  <c:v>8167815</c:v>
                </c:pt>
                <c:pt idx="249">
                  <c:v>8167929</c:v>
                </c:pt>
                <c:pt idx="250">
                  <c:v>8168924</c:v>
                </c:pt>
                <c:pt idx="251">
                  <c:v>8167619</c:v>
                </c:pt>
                <c:pt idx="252">
                  <c:v>8168335</c:v>
                </c:pt>
                <c:pt idx="253">
                  <c:v>8167889</c:v>
                </c:pt>
                <c:pt idx="254">
                  <c:v>8167803</c:v>
                </c:pt>
                <c:pt idx="255">
                  <c:v>8167394</c:v>
                </c:pt>
                <c:pt idx="256">
                  <c:v>8167174</c:v>
                </c:pt>
                <c:pt idx="257">
                  <c:v>8167083</c:v>
                </c:pt>
                <c:pt idx="258">
                  <c:v>8167514</c:v>
                </c:pt>
                <c:pt idx="259">
                  <c:v>8167663</c:v>
                </c:pt>
                <c:pt idx="260">
                  <c:v>8167039</c:v>
                </c:pt>
                <c:pt idx="261">
                  <c:v>8167150</c:v>
                </c:pt>
                <c:pt idx="262">
                  <c:v>8167694</c:v>
                </c:pt>
                <c:pt idx="263">
                  <c:v>8167484</c:v>
                </c:pt>
                <c:pt idx="264">
                  <c:v>8167337</c:v>
                </c:pt>
                <c:pt idx="265">
                  <c:v>8167929</c:v>
                </c:pt>
                <c:pt idx="266">
                  <c:v>8167417</c:v>
                </c:pt>
                <c:pt idx="267">
                  <c:v>8166962</c:v>
                </c:pt>
                <c:pt idx="268">
                  <c:v>8168604</c:v>
                </c:pt>
                <c:pt idx="269">
                  <c:v>8167785</c:v>
                </c:pt>
                <c:pt idx="270">
                  <c:v>8167531</c:v>
                </c:pt>
                <c:pt idx="271">
                  <c:v>8167538</c:v>
                </c:pt>
                <c:pt idx="272">
                  <c:v>8167642</c:v>
                </c:pt>
                <c:pt idx="273">
                  <c:v>8167705</c:v>
                </c:pt>
                <c:pt idx="274">
                  <c:v>8167661</c:v>
                </c:pt>
                <c:pt idx="275">
                  <c:v>8168384</c:v>
                </c:pt>
                <c:pt idx="276">
                  <c:v>8167698</c:v>
                </c:pt>
                <c:pt idx="277">
                  <c:v>8168342</c:v>
                </c:pt>
                <c:pt idx="278">
                  <c:v>8167993</c:v>
                </c:pt>
                <c:pt idx="279">
                  <c:v>8168116</c:v>
                </c:pt>
                <c:pt idx="280">
                  <c:v>8167624</c:v>
                </c:pt>
                <c:pt idx="281">
                  <c:v>8167262</c:v>
                </c:pt>
                <c:pt idx="282">
                  <c:v>8167808</c:v>
                </c:pt>
                <c:pt idx="283">
                  <c:v>8167922</c:v>
                </c:pt>
                <c:pt idx="284">
                  <c:v>8167211</c:v>
                </c:pt>
                <c:pt idx="285">
                  <c:v>8167496</c:v>
                </c:pt>
                <c:pt idx="286">
                  <c:v>8168197</c:v>
                </c:pt>
                <c:pt idx="287">
                  <c:v>8167514</c:v>
                </c:pt>
                <c:pt idx="288">
                  <c:v>8167715</c:v>
                </c:pt>
                <c:pt idx="289">
                  <c:v>8167475</c:v>
                </c:pt>
                <c:pt idx="290">
                  <c:v>8166897</c:v>
                </c:pt>
                <c:pt idx="291">
                  <c:v>8167346</c:v>
                </c:pt>
                <c:pt idx="292">
                  <c:v>8167102</c:v>
                </c:pt>
                <c:pt idx="293">
                  <c:v>8166749</c:v>
                </c:pt>
                <c:pt idx="294">
                  <c:v>8167519</c:v>
                </c:pt>
                <c:pt idx="295">
                  <c:v>8167710</c:v>
                </c:pt>
                <c:pt idx="296">
                  <c:v>8167396</c:v>
                </c:pt>
                <c:pt idx="297">
                  <c:v>8167162</c:v>
                </c:pt>
                <c:pt idx="298">
                  <c:v>8167894</c:v>
                </c:pt>
                <c:pt idx="299">
                  <c:v>8167369</c:v>
                </c:pt>
                <c:pt idx="300">
                  <c:v>8167514</c:v>
                </c:pt>
                <c:pt idx="301">
                  <c:v>8166666</c:v>
                </c:pt>
                <c:pt idx="302">
                  <c:v>8166451</c:v>
                </c:pt>
                <c:pt idx="303">
                  <c:v>8167677</c:v>
                </c:pt>
                <c:pt idx="304">
                  <c:v>8167645</c:v>
                </c:pt>
                <c:pt idx="305">
                  <c:v>8166908</c:v>
                </c:pt>
                <c:pt idx="306">
                  <c:v>8167078</c:v>
                </c:pt>
                <c:pt idx="307">
                  <c:v>8166957</c:v>
                </c:pt>
                <c:pt idx="308">
                  <c:v>8166973</c:v>
                </c:pt>
                <c:pt idx="309">
                  <c:v>8167111</c:v>
                </c:pt>
                <c:pt idx="310">
                  <c:v>8166938</c:v>
                </c:pt>
                <c:pt idx="311">
                  <c:v>8166994</c:v>
                </c:pt>
                <c:pt idx="312">
                  <c:v>8167129</c:v>
                </c:pt>
                <c:pt idx="313">
                  <c:v>8167125</c:v>
                </c:pt>
                <c:pt idx="314">
                  <c:v>8167039</c:v>
                </c:pt>
                <c:pt idx="315">
                  <c:v>8167055</c:v>
                </c:pt>
                <c:pt idx="316">
                  <c:v>8167034</c:v>
                </c:pt>
                <c:pt idx="317">
                  <c:v>8167246</c:v>
                </c:pt>
                <c:pt idx="318">
                  <c:v>8167389</c:v>
                </c:pt>
                <c:pt idx="319">
                  <c:v>8166943</c:v>
                </c:pt>
                <c:pt idx="320">
                  <c:v>8166766</c:v>
                </c:pt>
                <c:pt idx="321">
                  <c:v>8166467</c:v>
                </c:pt>
                <c:pt idx="322">
                  <c:v>8166269</c:v>
                </c:pt>
                <c:pt idx="323">
                  <c:v>8166509</c:v>
                </c:pt>
                <c:pt idx="324">
                  <c:v>8166897</c:v>
                </c:pt>
                <c:pt idx="325">
                  <c:v>8167223</c:v>
                </c:pt>
                <c:pt idx="326">
                  <c:v>8167055</c:v>
                </c:pt>
                <c:pt idx="327">
                  <c:v>8167169</c:v>
                </c:pt>
                <c:pt idx="328">
                  <c:v>8167424</c:v>
                </c:pt>
                <c:pt idx="329">
                  <c:v>8167433</c:v>
                </c:pt>
                <c:pt idx="330">
                  <c:v>8167792</c:v>
                </c:pt>
                <c:pt idx="331">
                  <c:v>8167062</c:v>
                </c:pt>
                <c:pt idx="332">
                  <c:v>8167223</c:v>
                </c:pt>
                <c:pt idx="333">
                  <c:v>8166810</c:v>
                </c:pt>
                <c:pt idx="334">
                  <c:v>8166192</c:v>
                </c:pt>
                <c:pt idx="335">
                  <c:v>8167146</c:v>
                </c:pt>
                <c:pt idx="336">
                  <c:v>8166841</c:v>
                </c:pt>
                <c:pt idx="337">
                  <c:v>8166670</c:v>
                </c:pt>
                <c:pt idx="338">
                  <c:v>8166614</c:v>
                </c:pt>
                <c:pt idx="339">
                  <c:v>8166924</c:v>
                </c:pt>
                <c:pt idx="340">
                  <c:v>8166558</c:v>
                </c:pt>
                <c:pt idx="341">
                  <c:v>8167139</c:v>
                </c:pt>
                <c:pt idx="342">
                  <c:v>8166980</c:v>
                </c:pt>
                <c:pt idx="343">
                  <c:v>8166537</c:v>
                </c:pt>
                <c:pt idx="344">
                  <c:v>8167090</c:v>
                </c:pt>
                <c:pt idx="345">
                  <c:v>8166908</c:v>
                </c:pt>
                <c:pt idx="346">
                  <c:v>8166433</c:v>
                </c:pt>
                <c:pt idx="347">
                  <c:v>8167050</c:v>
                </c:pt>
                <c:pt idx="348">
                  <c:v>8166304</c:v>
                </c:pt>
                <c:pt idx="349">
                  <c:v>8166731</c:v>
                </c:pt>
                <c:pt idx="350">
                  <c:v>8166428</c:v>
                </c:pt>
                <c:pt idx="351">
                  <c:v>8165962</c:v>
                </c:pt>
                <c:pt idx="352">
                  <c:v>8166260</c:v>
                </c:pt>
                <c:pt idx="353">
                  <c:v>8166635</c:v>
                </c:pt>
                <c:pt idx="354">
                  <c:v>8166064</c:v>
                </c:pt>
                <c:pt idx="355">
                  <c:v>8167164</c:v>
                </c:pt>
                <c:pt idx="356">
                  <c:v>8166740</c:v>
                </c:pt>
                <c:pt idx="357">
                  <c:v>8167295</c:v>
                </c:pt>
                <c:pt idx="358">
                  <c:v>8166600</c:v>
                </c:pt>
                <c:pt idx="359">
                  <c:v>8166798</c:v>
                </c:pt>
                <c:pt idx="360">
                  <c:v>8166153</c:v>
                </c:pt>
                <c:pt idx="361">
                  <c:v>8166997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C-45CC-ABF8-6EC0AC2C6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473535"/>
        <c:axId val="1114468735"/>
      </c:scatterChart>
      <c:valAx>
        <c:axId val="11144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68735"/>
        <c:crosses val="autoZero"/>
        <c:crossBetween val="midCat"/>
      </c:valAx>
      <c:valAx>
        <c:axId val="11144687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7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error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Sheet2!$B$4:$B$365</c:f>
              <c:numCache>
                <c:formatCode>0.000%</c:formatCode>
                <c:ptCount val="362"/>
                <c:pt idx="0">
                  <c:v>0</c:v>
                </c:pt>
                <c:pt idx="1">
                  <c:v>7.7486038208007813E-6</c:v>
                </c:pt>
                <c:pt idx="2">
                  <c:v>3.6656856536865234E-5</c:v>
                </c:pt>
                <c:pt idx="3">
                  <c:v>5.1975250244140625E-5</c:v>
                </c:pt>
                <c:pt idx="4">
                  <c:v>-6.3776969909667969E-6</c:v>
                </c:pt>
                <c:pt idx="5" formatCode="0.00%">
                  <c:v>5.3346157073974609E-5</c:v>
                </c:pt>
                <c:pt idx="6" formatCode="0.00%">
                  <c:v>1.7225742340087891E-5</c:v>
                </c:pt>
                <c:pt idx="7" formatCode="0.00%">
                  <c:v>3.2246112823486328E-5</c:v>
                </c:pt>
                <c:pt idx="8" formatCode="0.00%">
                  <c:v>1.3470649719238281E-5</c:v>
                </c:pt>
                <c:pt idx="9" formatCode="0.00%">
                  <c:v>6.7234039306640625E-5</c:v>
                </c:pt>
                <c:pt idx="10" formatCode="0.00%">
                  <c:v>4.0411949157714844E-5</c:v>
                </c:pt>
                <c:pt idx="11" formatCode="0.00%">
                  <c:v>3.2484531402587891E-5</c:v>
                </c:pt>
                <c:pt idx="12" formatCode="0.00%">
                  <c:v>6.3419342041015625E-5</c:v>
                </c:pt>
                <c:pt idx="13" formatCode="0.00%">
                  <c:v>4.6670436859130859E-5</c:v>
                </c:pt>
                <c:pt idx="14" formatCode="0.00%">
                  <c:v>6.0796737670898438E-6</c:v>
                </c:pt>
                <c:pt idx="15" formatCode="0.00%">
                  <c:v>3.5166740417480469E-5</c:v>
                </c:pt>
                <c:pt idx="16" formatCode="0.00%">
                  <c:v>5.6147575378417969E-5</c:v>
                </c:pt>
                <c:pt idx="17" formatCode="0.00%">
                  <c:v>4.4882297515869141E-5</c:v>
                </c:pt>
                <c:pt idx="18" formatCode="0.00%">
                  <c:v>2.1636486053466797E-5</c:v>
                </c:pt>
                <c:pt idx="19" formatCode="0.00%">
                  <c:v>4.4345855712890625E-5</c:v>
                </c:pt>
                <c:pt idx="20" formatCode="0.00%">
                  <c:v>6.4492225646972656E-5</c:v>
                </c:pt>
                <c:pt idx="21" formatCode="0.00%">
                  <c:v>5.2213668823242188E-5</c:v>
                </c:pt>
                <c:pt idx="22" formatCode="0.00%">
                  <c:v>3.8206577301025391E-5</c:v>
                </c:pt>
                <c:pt idx="23" formatCode="0.00%">
                  <c:v>2.0802021026611328E-5</c:v>
                </c:pt>
                <c:pt idx="24" formatCode="0.00%">
                  <c:v>3.4451484680175781E-5</c:v>
                </c:pt>
                <c:pt idx="25" formatCode="0.00%">
                  <c:v>3.7252902984619141E-5</c:v>
                </c:pt>
                <c:pt idx="26" formatCode="0.00%">
                  <c:v>4.1425228118896484E-5</c:v>
                </c:pt>
                <c:pt idx="27" formatCode="0.00%">
                  <c:v>3.0159950256347656E-5</c:v>
                </c:pt>
                <c:pt idx="28" formatCode="0.00%">
                  <c:v>6.4969062805175781E-6</c:v>
                </c:pt>
                <c:pt idx="29" formatCode="0.00%">
                  <c:v>5.6803226470947266E-5</c:v>
                </c:pt>
                <c:pt idx="30" formatCode="0.00%">
                  <c:v>4.6133995056152344E-5</c:v>
                </c:pt>
                <c:pt idx="31" formatCode="0.00%">
                  <c:v>3.4987926483154297E-5</c:v>
                </c:pt>
                <c:pt idx="32" formatCode="0.00%">
                  <c:v>2.6106834411621094E-5</c:v>
                </c:pt>
                <c:pt idx="33" formatCode="0.00%">
                  <c:v>7.62939453125E-6</c:v>
                </c:pt>
                <c:pt idx="34" formatCode="0.00%">
                  <c:v>1.7762184143066406E-5</c:v>
                </c:pt>
                <c:pt idx="35" formatCode="0.00%">
                  <c:v>5.2094459533691406E-5</c:v>
                </c:pt>
                <c:pt idx="36" formatCode="0.00%">
                  <c:v>8.58306884765625E-6</c:v>
                </c:pt>
                <c:pt idx="37" formatCode="0.00%">
                  <c:v>8.1658363342285156E-6</c:v>
                </c:pt>
                <c:pt idx="38" formatCode="0.00%">
                  <c:v>2.193450927734375E-5</c:v>
                </c:pt>
                <c:pt idx="39" formatCode="0.00%">
                  <c:v>5.3346157073974609E-5</c:v>
                </c:pt>
                <c:pt idx="40" formatCode="0.00%">
                  <c:v>1.8477439880371094E-5</c:v>
                </c:pt>
                <c:pt idx="41" formatCode="0.00%">
                  <c:v>-2.9206275939941406E-6</c:v>
                </c:pt>
                <c:pt idx="42" formatCode="0.00%">
                  <c:v>2.3603439331054688E-5</c:v>
                </c:pt>
                <c:pt idx="43" formatCode="0.00%">
                  <c:v>-2.5033950805664063E-6</c:v>
                </c:pt>
                <c:pt idx="44" formatCode="0.00%">
                  <c:v>9.5963478088378906E-6</c:v>
                </c:pt>
                <c:pt idx="45" formatCode="0.00%">
                  <c:v>1.3589859008789063E-5</c:v>
                </c:pt>
                <c:pt idx="46" formatCode="0.00%">
                  <c:v>1.0132789611816406E-5</c:v>
                </c:pt>
                <c:pt idx="47" formatCode="0.00%">
                  <c:v>4.5716762542724609E-5</c:v>
                </c:pt>
                <c:pt idx="48" formatCode="0.00%">
                  <c:v>1.1682510375976563E-5</c:v>
                </c:pt>
                <c:pt idx="49" formatCode="0.00%">
                  <c:v>1.8060207366943359E-5</c:v>
                </c:pt>
                <c:pt idx="50" formatCode="0.00%">
                  <c:v>1.4185905456542969E-5</c:v>
                </c:pt>
                <c:pt idx="51" formatCode="0.00%">
                  <c:v>1.1324882507324219E-6</c:v>
                </c:pt>
                <c:pt idx="52" formatCode="0.00%">
                  <c:v>1.9967555999755859E-5</c:v>
                </c:pt>
                <c:pt idx="53" formatCode="0.00%">
                  <c:v>2.8491020202636719E-5</c:v>
                </c:pt>
                <c:pt idx="54" formatCode="0.00%">
                  <c:v>2.8908252716064453E-5</c:v>
                </c:pt>
                <c:pt idx="55" formatCode="0.00%">
                  <c:v>3.7491321563720703E-5</c:v>
                </c:pt>
                <c:pt idx="56" formatCode="0.00%">
                  <c:v>1.7344951629638672E-5</c:v>
                </c:pt>
                <c:pt idx="57" formatCode="0.00%">
                  <c:v>3.5166740417480469E-5</c:v>
                </c:pt>
                <c:pt idx="58" formatCode="0.00%">
                  <c:v>-5.0067901611328125E-6</c:v>
                </c:pt>
                <c:pt idx="59" formatCode="0.00%">
                  <c:v>-1.2516975402832031E-5</c:v>
                </c:pt>
                <c:pt idx="60" formatCode="0.00%">
                  <c:v>1.6510486602783203E-5</c:v>
                </c:pt>
                <c:pt idx="61" formatCode="0.00%">
                  <c:v>-2.002716064453125E-5</c:v>
                </c:pt>
                <c:pt idx="62" formatCode="0.00%">
                  <c:v>-2.6822090148925781E-5</c:v>
                </c:pt>
                <c:pt idx="63" formatCode="0.00%">
                  <c:v>1.0132789611816406E-5</c:v>
                </c:pt>
                <c:pt idx="64" formatCode="0.00%">
                  <c:v>2.4020671844482422E-5</c:v>
                </c:pt>
                <c:pt idx="65" formatCode="0.00%">
                  <c:v>3.1828880310058594E-5</c:v>
                </c:pt>
                <c:pt idx="66" formatCode="0.00%">
                  <c:v>4.9173831939697266E-5</c:v>
                </c:pt>
                <c:pt idx="67" formatCode="0.00%">
                  <c:v>6.9916248321533203E-5</c:v>
                </c:pt>
                <c:pt idx="68" formatCode="0.00%">
                  <c:v>3.2663345336914063E-5</c:v>
                </c:pt>
                <c:pt idx="69" formatCode="0.00%">
                  <c:v>2.6404857635498047E-5</c:v>
                </c:pt>
                <c:pt idx="70" formatCode="0.00%">
                  <c:v>2.4318695068359375E-5</c:v>
                </c:pt>
                <c:pt idx="71" formatCode="0.00%">
                  <c:v>3.4034252166748047E-5</c:v>
                </c:pt>
                <c:pt idx="72" formatCode="0.00%">
                  <c:v>3.5405158996582031E-5</c:v>
                </c:pt>
                <c:pt idx="73" formatCode="0.00%">
                  <c:v>3.6358833312988281E-6</c:v>
                </c:pt>
                <c:pt idx="74" formatCode="0.00%">
                  <c:v>-6.67572021484375E-6</c:v>
                </c:pt>
                <c:pt idx="75" formatCode="0.00%">
                  <c:v>5.3644180297851563E-7</c:v>
                </c:pt>
                <c:pt idx="76" formatCode="0.00%">
                  <c:v>2.7060508728027344E-5</c:v>
                </c:pt>
                <c:pt idx="77" formatCode="0.00%">
                  <c:v>6.7532062530517578E-5</c:v>
                </c:pt>
                <c:pt idx="78" formatCode="0.00%">
                  <c:v>1.2636184692382813E-5</c:v>
                </c:pt>
                <c:pt idx="79" formatCode="0.00%">
                  <c:v>2.9742717742919922E-5</c:v>
                </c:pt>
                <c:pt idx="80" formatCode="0.00%">
                  <c:v>6.7949295043945313E-5</c:v>
                </c:pt>
                <c:pt idx="81" formatCode="0.00%">
                  <c:v>3.5583972930908203E-5</c:v>
                </c:pt>
                <c:pt idx="82" formatCode="0.00%">
                  <c:v>9.2267990112304688E-5</c:v>
                </c:pt>
                <c:pt idx="83" formatCode="0.00%">
                  <c:v>7.0750713348388672E-5</c:v>
                </c:pt>
                <c:pt idx="84" formatCode="0.00%">
                  <c:v>8.0585479736328125E-5</c:v>
                </c:pt>
                <c:pt idx="85" formatCode="0.00%">
                  <c:v>3.9756298065185547E-5</c:v>
                </c:pt>
                <c:pt idx="86" formatCode="0.00%">
                  <c:v>4.5180320739746094E-5</c:v>
                </c:pt>
                <c:pt idx="87" formatCode="0.00%">
                  <c:v>1.9133090972900391E-5</c:v>
                </c:pt>
                <c:pt idx="88" formatCode="0.00%">
                  <c:v>6.2704086303710938E-5</c:v>
                </c:pt>
                <c:pt idx="89" formatCode="0.00%">
                  <c:v>2.7239322662353516E-5</c:v>
                </c:pt>
                <c:pt idx="90" formatCode="0.00%">
                  <c:v>-1.3887882232666016E-5</c:v>
                </c:pt>
                <c:pt idx="91" formatCode="0.00%">
                  <c:v>-7.152557373046875E-7</c:v>
                </c:pt>
                <c:pt idx="92" formatCode="0.00%">
                  <c:v>-6.3776969909667969E-6</c:v>
                </c:pt>
                <c:pt idx="93" formatCode="0.00%">
                  <c:v>-4.0590763092041016E-5</c:v>
                </c:pt>
                <c:pt idx="94" formatCode="0.00%">
                  <c:v>-1.0013580322265625E-5</c:v>
                </c:pt>
                <c:pt idx="95" formatCode="0.00%">
                  <c:v>-2.1696090698242188E-5</c:v>
                </c:pt>
                <c:pt idx="96" formatCode="0.00%">
                  <c:v>4.1425228118896484E-5</c:v>
                </c:pt>
                <c:pt idx="97" formatCode="0.00%">
                  <c:v>-3.337860107421875E-6</c:v>
                </c:pt>
                <c:pt idx="98" formatCode="0.00%">
                  <c:v>6.1452388763427734E-5</c:v>
                </c:pt>
                <c:pt idx="99" formatCode="0.00%">
                  <c:v>2.2470951080322266E-5</c:v>
                </c:pt>
                <c:pt idx="100" formatCode="0.00%">
                  <c:v>3.0457973480224609E-5</c:v>
                </c:pt>
                <c:pt idx="101" formatCode="0.00%">
                  <c:v>2.3305416107177734E-5</c:v>
                </c:pt>
                <c:pt idx="102" formatCode="0.00%">
                  <c:v>9.0003013610839844E-6</c:v>
                </c:pt>
                <c:pt idx="103" formatCode="0.00%">
                  <c:v>3.5703182220458984E-5</c:v>
                </c:pt>
                <c:pt idx="104" formatCode="0.00%">
                  <c:v>5.3644180297851563E-5</c:v>
                </c:pt>
                <c:pt idx="105" formatCode="0.00%">
                  <c:v>1.8060207366943359E-5</c:v>
                </c:pt>
                <c:pt idx="106" formatCode="0.00%">
                  <c:v>8.0466270446777344E-5</c:v>
                </c:pt>
                <c:pt idx="107" formatCode="0.00%">
                  <c:v>5.5134296417236328E-5</c:v>
                </c:pt>
                <c:pt idx="108" formatCode="0.00%">
                  <c:v>6.3538551330566406E-5</c:v>
                </c:pt>
                <c:pt idx="109" formatCode="0.00%">
                  <c:v>7.3909759521484375E-5</c:v>
                </c:pt>
                <c:pt idx="110" formatCode="0.00%">
                  <c:v>6.7412853240966797E-5</c:v>
                </c:pt>
                <c:pt idx="111" formatCode="0.00%">
                  <c:v>3.2484531402587891E-5</c:v>
                </c:pt>
                <c:pt idx="112" formatCode="0.00%">
                  <c:v>1.5556812286376953E-5</c:v>
                </c:pt>
                <c:pt idx="113" formatCode="0.00%">
                  <c:v>2.9206275939941406E-5</c:v>
                </c:pt>
                <c:pt idx="114" formatCode="0.00%">
                  <c:v>2.4318695068359375E-5</c:v>
                </c:pt>
                <c:pt idx="115" formatCode="0.00%">
                  <c:v>5.7399272918701172E-5</c:v>
                </c:pt>
                <c:pt idx="116" formatCode="0.00%">
                  <c:v>2.1517276763916016E-5</c:v>
                </c:pt>
                <c:pt idx="117" formatCode="0.00%">
                  <c:v>6.0021877288818359E-5</c:v>
                </c:pt>
                <c:pt idx="118" formatCode="0.00%">
                  <c:v>1.1086463928222656E-4</c:v>
                </c:pt>
                <c:pt idx="119" formatCode="0.00%">
                  <c:v>6.6697597503662109E-5</c:v>
                </c:pt>
                <c:pt idx="120" formatCode="0.00%">
                  <c:v>5.9008598327636719E-5</c:v>
                </c:pt>
                <c:pt idx="121" formatCode="0.00%">
                  <c:v>3.7252902984619141E-5</c:v>
                </c:pt>
                <c:pt idx="122" formatCode="0.00%">
                  <c:v>8.6426734924316406E-5</c:v>
                </c:pt>
                <c:pt idx="123" formatCode="0.00%">
                  <c:v>6.5445899963378906E-5</c:v>
                </c:pt>
                <c:pt idx="124" formatCode="0.00%">
                  <c:v>5.1558017730712891E-5</c:v>
                </c:pt>
                <c:pt idx="125" formatCode="0.00%">
                  <c:v>1.0281801223754883E-4</c:v>
                </c:pt>
                <c:pt idx="126" formatCode="0.00%">
                  <c:v>6.5445899963378906E-5</c:v>
                </c:pt>
                <c:pt idx="127" formatCode="0.00%">
                  <c:v>8.6963176727294922E-5</c:v>
                </c:pt>
                <c:pt idx="128" formatCode="0.00%">
                  <c:v>5.7399272918701172E-5</c:v>
                </c:pt>
                <c:pt idx="129" formatCode="0.00%">
                  <c:v>3.4332275390625E-5</c:v>
                </c:pt>
                <c:pt idx="130" formatCode="0.00%">
                  <c:v>6.961822509765625E-5</c:v>
                </c:pt>
                <c:pt idx="131" formatCode="0.00%">
                  <c:v>8.9883804321289063E-5</c:v>
                </c:pt>
                <c:pt idx="132" formatCode="0.00%">
                  <c:v>2.4139881134033203E-5</c:v>
                </c:pt>
                <c:pt idx="133" formatCode="0.00%">
                  <c:v>2.5689601898193359E-5</c:v>
                </c:pt>
                <c:pt idx="134" formatCode="0.00%">
                  <c:v>4.0709972381591797E-5</c:v>
                </c:pt>
                <c:pt idx="135" formatCode="0.00%">
                  <c:v>7.8082084655761719E-5</c:v>
                </c:pt>
                <c:pt idx="136" formatCode="0.00%">
                  <c:v>4.3511390686035156E-5</c:v>
                </c:pt>
                <c:pt idx="137" formatCode="0.00%">
                  <c:v>6.7412853240966797E-5</c:v>
                </c:pt>
                <c:pt idx="138" formatCode="0.00%">
                  <c:v>5.6385993957519531E-5</c:v>
                </c:pt>
                <c:pt idx="139" formatCode="0.00%">
                  <c:v>7.6949596405029297E-5</c:v>
                </c:pt>
                <c:pt idx="140" formatCode="0.00%">
                  <c:v>6.4611434936523438E-5</c:v>
                </c:pt>
                <c:pt idx="141" formatCode="0.00%">
                  <c:v>2.0682811737060547E-5</c:v>
                </c:pt>
                <c:pt idx="142" formatCode="0.00%">
                  <c:v>8.2254409790039063E-5</c:v>
                </c:pt>
                <c:pt idx="143" formatCode="0.00%">
                  <c:v>8.6128711700439453E-5</c:v>
                </c:pt>
                <c:pt idx="144" formatCode="0.00%">
                  <c:v>4.9173831939697266E-5</c:v>
                </c:pt>
                <c:pt idx="145" formatCode="0.00%">
                  <c:v>6.1273574829101563E-5</c:v>
                </c:pt>
                <c:pt idx="146" formatCode="0.00%">
                  <c:v>6.4730644226074219E-5</c:v>
                </c:pt>
                <c:pt idx="147" formatCode="0.00%">
                  <c:v>3.2246112823486328E-5</c:v>
                </c:pt>
                <c:pt idx="148" formatCode="0.00%">
                  <c:v>3.4332275390625E-5</c:v>
                </c:pt>
                <c:pt idx="149" formatCode="0.00%">
                  <c:v>3.4987926483154297E-5</c:v>
                </c:pt>
                <c:pt idx="150" formatCode="0.00%">
                  <c:v>2.6106834411621094E-5</c:v>
                </c:pt>
                <c:pt idx="151" formatCode="0.00%">
                  <c:v>8.2373619079589844E-5</c:v>
                </c:pt>
                <c:pt idx="152" formatCode="0.00%">
                  <c:v>8.5294246673583984E-5</c:v>
                </c:pt>
                <c:pt idx="153" formatCode="0.00%">
                  <c:v>6.5565109252929688E-5</c:v>
                </c:pt>
                <c:pt idx="154" formatCode="0.00%">
                  <c:v>3.1113624572753906E-5</c:v>
                </c:pt>
                <c:pt idx="155" formatCode="0.00%">
                  <c:v>3.5166740417480469E-5</c:v>
                </c:pt>
                <c:pt idx="156" formatCode="0.00%">
                  <c:v>2.4974346160888672E-5</c:v>
                </c:pt>
                <c:pt idx="157" formatCode="0.00%">
                  <c:v>3.6001205444335938E-5</c:v>
                </c:pt>
                <c:pt idx="158" formatCode="0.00%">
                  <c:v>5.3226947784423828E-5</c:v>
                </c:pt>
                <c:pt idx="159" formatCode="0.00%">
                  <c:v>2.4318695068359375E-5</c:v>
                </c:pt>
                <c:pt idx="160" formatCode="0.00%">
                  <c:v>3.2365322113037109E-5</c:v>
                </c:pt>
                <c:pt idx="161" formatCode="0.00%">
                  <c:v>1.8060207366943359E-5</c:v>
                </c:pt>
                <c:pt idx="162" formatCode="0.00%">
                  <c:v>4.9293041229248047E-5</c:v>
                </c:pt>
                <c:pt idx="163" formatCode="0.00%">
                  <c:v>3.6835670471191406E-5</c:v>
                </c:pt>
                <c:pt idx="164" formatCode="0.00%">
                  <c:v>4.4345855712890625E-5</c:v>
                </c:pt>
                <c:pt idx="165" formatCode="0.00%">
                  <c:v>2.6106834411621094E-5</c:v>
                </c:pt>
                <c:pt idx="166" formatCode="0.00%">
                  <c:v>6.0260295867919922E-5</c:v>
                </c:pt>
                <c:pt idx="167" formatCode="0.00%">
                  <c:v>6.8485736846923828E-5</c:v>
                </c:pt>
                <c:pt idx="168" formatCode="0.00%">
                  <c:v>9.5963478088378906E-5</c:v>
                </c:pt>
                <c:pt idx="169" formatCode="0.00%">
                  <c:v>3.3736228942871094E-5</c:v>
                </c:pt>
                <c:pt idx="170" formatCode="0.00%">
                  <c:v>5.3882598876953125E-5</c:v>
                </c:pt>
                <c:pt idx="171" formatCode="0.00%">
                  <c:v>4.1842460632324219E-5</c:v>
                </c:pt>
                <c:pt idx="172" formatCode="0.00%">
                  <c:v>4.1246414184570313E-5</c:v>
                </c:pt>
                <c:pt idx="173" formatCode="0.00%">
                  <c:v>4.5895576477050781E-6</c:v>
                </c:pt>
                <c:pt idx="174" formatCode="0.00%">
                  <c:v>3.6537647247314453E-5</c:v>
                </c:pt>
                <c:pt idx="175" formatCode="0.00%">
                  <c:v>5.0306320190429688E-5</c:v>
                </c:pt>
                <c:pt idx="176" formatCode="0.00%">
                  <c:v>-7.152557373046875E-6</c:v>
                </c:pt>
                <c:pt idx="177" formatCode="0.00%">
                  <c:v>2.3722648620605469E-5</c:v>
                </c:pt>
                <c:pt idx="178" formatCode="0.00%">
                  <c:v>3.2901763916015625E-5</c:v>
                </c:pt>
                <c:pt idx="179" formatCode="0.00%">
                  <c:v>7.8082084655761719E-5</c:v>
                </c:pt>
                <c:pt idx="180" formatCode="0.00%">
                  <c:v>3.0696392059326172E-5</c:v>
                </c:pt>
                <c:pt idx="181" formatCode="0.00%">
                  <c:v>5.7518482208251953E-5</c:v>
                </c:pt>
                <c:pt idx="182" formatCode="0.00%">
                  <c:v>2.8133392333984375E-5</c:v>
                </c:pt>
                <c:pt idx="183" formatCode="0.00%">
                  <c:v>2.8789043426513672E-5</c:v>
                </c:pt>
                <c:pt idx="184" formatCode="0.00%">
                  <c:v>6.4492225646972656E-5</c:v>
                </c:pt>
                <c:pt idx="185" formatCode="0.00%">
                  <c:v>8.3088874816894531E-5</c:v>
                </c:pt>
                <c:pt idx="186" formatCode="0.00%">
                  <c:v>5.054473876953125E-5</c:v>
                </c:pt>
                <c:pt idx="187" formatCode="0.00%">
                  <c:v>4.4763088226318359E-5</c:v>
                </c:pt>
                <c:pt idx="188" formatCode="0.00%">
                  <c:v>7.9452991485595703E-5</c:v>
                </c:pt>
                <c:pt idx="189" formatCode="0.00%">
                  <c:v>2.8491020202636719E-5</c:v>
                </c:pt>
                <c:pt idx="190" formatCode="0.00%">
                  <c:v>2.3186206817626953E-5</c:v>
                </c:pt>
                <c:pt idx="191" formatCode="0.00%">
                  <c:v>1.4722347259521484E-5</c:v>
                </c:pt>
                <c:pt idx="192" formatCode="0.00%">
                  <c:v>4.7385692596435547E-5</c:v>
                </c:pt>
                <c:pt idx="193" formatCode="0.00%">
                  <c:v>5.2511692047119141E-5</c:v>
                </c:pt>
                <c:pt idx="194" formatCode="0.00%">
                  <c:v>4.9710273742675781E-5</c:v>
                </c:pt>
                <c:pt idx="195" formatCode="0.00%">
                  <c:v>5.7220458984375E-5</c:v>
                </c:pt>
                <c:pt idx="196" formatCode="0.00%">
                  <c:v>6.3955783843994141E-5</c:v>
                </c:pt>
                <c:pt idx="197" formatCode="0.00%">
                  <c:v>5.8054924011230469E-5</c:v>
                </c:pt>
                <c:pt idx="198" formatCode="0.00%">
                  <c:v>7.0750713348388672E-5</c:v>
                </c:pt>
                <c:pt idx="199" formatCode="0.00%">
                  <c:v>7.7545642852783203E-5</c:v>
                </c:pt>
                <c:pt idx="200" formatCode="0.00%">
                  <c:v>4.8458576202392578E-5</c:v>
                </c:pt>
                <c:pt idx="201" formatCode="0.00%">
                  <c:v>6.2882900238037109E-5</c:v>
                </c:pt>
                <c:pt idx="202" formatCode="0.00%">
                  <c:v>7.1287155151367188E-5</c:v>
                </c:pt>
                <c:pt idx="203" formatCode="0.00%">
                  <c:v>7.3790550231933594E-5</c:v>
                </c:pt>
                <c:pt idx="204" formatCode="0.00%">
                  <c:v>5.7637691497802734E-5</c:v>
                </c:pt>
                <c:pt idx="205" formatCode="0.00%">
                  <c:v>-4.4703483581542969E-6</c:v>
                </c:pt>
                <c:pt idx="206" formatCode="0.00%">
                  <c:v>3.5822391510009766E-5</c:v>
                </c:pt>
                <c:pt idx="207" formatCode="0.00%">
                  <c:v>3.7908554077148438E-5</c:v>
                </c:pt>
                <c:pt idx="208" formatCode="0.00%">
                  <c:v>4.4584274291992188E-5</c:v>
                </c:pt>
                <c:pt idx="209" formatCode="0.00%">
                  <c:v>3.4570693969726563E-5</c:v>
                </c:pt>
                <c:pt idx="210" formatCode="0.00%">
                  <c:v>4.3094158172607422E-5</c:v>
                </c:pt>
                <c:pt idx="211" formatCode="0.00%">
                  <c:v>9.5427036285400391E-5</c:v>
                </c:pt>
                <c:pt idx="212" formatCode="0.00%">
                  <c:v>7.724761962890625E-5</c:v>
                </c:pt>
                <c:pt idx="213" formatCode="0.00%">
                  <c:v>1.0478496551513672E-4</c:v>
                </c:pt>
                <c:pt idx="214" formatCode="0.00%">
                  <c:v>4.5716762542724609E-5</c:v>
                </c:pt>
                <c:pt idx="215" formatCode="0.00%">
                  <c:v>4.6133995056152344E-5</c:v>
                </c:pt>
                <c:pt idx="216" formatCode="0.00%">
                  <c:v>6.9081783294677734E-5</c:v>
                </c:pt>
                <c:pt idx="217" formatCode="0.00%">
                  <c:v>4.863739013671875E-5</c:v>
                </c:pt>
                <c:pt idx="218" formatCode="0.00%">
                  <c:v>7.9870223999023438E-5</c:v>
                </c:pt>
                <c:pt idx="219" formatCode="0.00%">
                  <c:v>7.0869922637939453E-5</c:v>
                </c:pt>
                <c:pt idx="220" formatCode="0.00%">
                  <c:v>5.2630901336669922E-5</c:v>
                </c:pt>
                <c:pt idx="221" formatCode="0.00%">
                  <c:v>5.7816505432128906E-5</c:v>
                </c:pt>
                <c:pt idx="222" formatCode="0.00%">
                  <c:v>8.9883804321289063E-5</c:v>
                </c:pt>
                <c:pt idx="223" formatCode="0.00%">
                  <c:v>3.8206577301025391E-5</c:v>
                </c:pt>
                <c:pt idx="224" formatCode="0.00%">
                  <c:v>4.8756599426269531E-5</c:v>
                </c:pt>
                <c:pt idx="225" formatCode="0.00%">
                  <c:v>6.5445899963378906E-5</c:v>
                </c:pt>
                <c:pt idx="226" formatCode="0.00%">
                  <c:v>1.0460615158081055E-4</c:v>
                </c:pt>
                <c:pt idx="227" formatCode="0.00%">
                  <c:v>9.1552734375E-5</c:v>
                </c:pt>
                <c:pt idx="228" formatCode="0.00%">
                  <c:v>1.1533498764038086E-4</c:v>
                </c:pt>
                <c:pt idx="229" formatCode="0.00%">
                  <c:v>7.2121620178222656E-5</c:v>
                </c:pt>
                <c:pt idx="230" formatCode="0.00%">
                  <c:v>6.7830085754394531E-5</c:v>
                </c:pt>
                <c:pt idx="231" formatCode="0.00%">
                  <c:v>3.5583972930908203E-5</c:v>
                </c:pt>
                <c:pt idx="232" formatCode="0.00%">
                  <c:v>6.4611434936523438E-5</c:v>
                </c:pt>
                <c:pt idx="233" formatCode="0.00%">
                  <c:v>5.6385993957519531E-5</c:v>
                </c:pt>
                <c:pt idx="234" formatCode="0.00%">
                  <c:v>8.8512897491455078E-5</c:v>
                </c:pt>
                <c:pt idx="235" formatCode="0.00%">
                  <c:v>7.5697898864746094E-5</c:v>
                </c:pt>
                <c:pt idx="236" formatCode="0.00%">
                  <c:v>7.0989131927490234E-5</c:v>
                </c:pt>
                <c:pt idx="237" formatCode="0.00%">
                  <c:v>8.2671642303466797E-5</c:v>
                </c:pt>
                <c:pt idx="238" formatCode="0.00%">
                  <c:v>9.0003013610839844E-5</c:v>
                </c:pt>
                <c:pt idx="239" formatCode="0.00%">
                  <c:v>6.0260295867919922E-5</c:v>
                </c:pt>
                <c:pt idx="240" formatCode="0.00%">
                  <c:v>1.0102987289428711E-4</c:v>
                </c:pt>
                <c:pt idx="241" formatCode="0.00%">
                  <c:v>8.5473060607910156E-5</c:v>
                </c:pt>
                <c:pt idx="242" formatCode="0.00%">
                  <c:v>8.9466571807861328E-5</c:v>
                </c:pt>
                <c:pt idx="243" formatCode="0.00%">
                  <c:v>9.3936920166015625E-5</c:v>
                </c:pt>
                <c:pt idx="244" formatCode="0.00%">
                  <c:v>6.3121318817138672E-5</c:v>
                </c:pt>
                <c:pt idx="245" formatCode="0.00%">
                  <c:v>7.4326992034912109E-5</c:v>
                </c:pt>
                <c:pt idx="246" formatCode="0.00%">
                  <c:v>6.7412853240966797E-5</c:v>
                </c:pt>
                <c:pt idx="247" formatCode="0.00%">
                  <c:v>1.0144710540771484E-4</c:v>
                </c:pt>
                <c:pt idx="248" formatCode="0.00%">
                  <c:v>8.6843967437744141E-5</c:v>
                </c:pt>
                <c:pt idx="249" formatCode="0.00%">
                  <c:v>9.3638896942138672E-5</c:v>
                </c:pt>
                <c:pt idx="250" formatCode="0.00%">
                  <c:v>1.5294551849365234E-4</c:v>
                </c:pt>
                <c:pt idx="251" formatCode="0.00%">
                  <c:v>7.5161457061767578E-5</c:v>
                </c:pt>
                <c:pt idx="252" formatCode="0.00%">
                  <c:v>1.1783838272094727E-4</c:v>
                </c:pt>
                <c:pt idx="253" formatCode="0.00%">
                  <c:v>9.1254711151123047E-5</c:v>
                </c:pt>
                <c:pt idx="254" formatCode="0.00%">
                  <c:v>8.6128711700439453E-5</c:v>
                </c:pt>
                <c:pt idx="255" formatCode="0.00%">
                  <c:v>6.1750411987304688E-5</c:v>
                </c:pt>
                <c:pt idx="256" formatCode="0.00%">
                  <c:v>4.863739013671875E-5</c:v>
                </c:pt>
                <c:pt idx="257" formatCode="0.00%">
                  <c:v>4.3213367462158203E-5</c:v>
                </c:pt>
                <c:pt idx="258" formatCode="0.00%">
                  <c:v>6.8902969360351563E-5</c:v>
                </c:pt>
                <c:pt idx="259" formatCode="0.00%">
                  <c:v>7.7784061431884766E-5</c:v>
                </c:pt>
                <c:pt idx="260" formatCode="0.00%">
                  <c:v>4.0590763092041016E-5</c:v>
                </c:pt>
                <c:pt idx="261" formatCode="0.00%">
                  <c:v>4.7206878662109375E-5</c:v>
                </c:pt>
                <c:pt idx="262" formatCode="0.00%">
                  <c:v>7.9631805419921875E-5</c:v>
                </c:pt>
                <c:pt idx="263" formatCode="0.00%">
                  <c:v>6.7114830017089844E-5</c:v>
                </c:pt>
                <c:pt idx="264" formatCode="0.00%">
                  <c:v>5.8352947235107422E-5</c:v>
                </c:pt>
                <c:pt idx="265" formatCode="0.00%">
                  <c:v>9.3638896942138672E-5</c:v>
                </c:pt>
                <c:pt idx="266" formatCode="0.00%">
                  <c:v>6.3121318817138672E-5</c:v>
                </c:pt>
                <c:pt idx="267" formatCode="0.00%">
                  <c:v>3.6001205444335938E-5</c:v>
                </c:pt>
                <c:pt idx="268" formatCode="0.00%">
                  <c:v>1.3387203216552734E-4</c:v>
                </c:pt>
                <c:pt idx="269" formatCode="0.00%">
                  <c:v>8.5055828094482422E-5</c:v>
                </c:pt>
                <c:pt idx="270" formatCode="0.00%">
                  <c:v>6.9916248321533203E-5</c:v>
                </c:pt>
                <c:pt idx="271" formatCode="0.00%">
                  <c:v>7.0333480834960938E-5</c:v>
                </c:pt>
                <c:pt idx="272" formatCode="0.00%">
                  <c:v>7.6532363891601563E-5</c:v>
                </c:pt>
                <c:pt idx="273" formatCode="0.00%">
                  <c:v>8.0287456512451172E-5</c:v>
                </c:pt>
                <c:pt idx="274" formatCode="0.00%">
                  <c:v>7.7664852142333984E-5</c:v>
                </c:pt>
                <c:pt idx="275" formatCode="0.00%">
                  <c:v>1.2075901031494141E-4</c:v>
                </c:pt>
                <c:pt idx="276" formatCode="0.00%">
                  <c:v>7.9870223999023438E-5</c:v>
                </c:pt>
                <c:pt idx="277" formatCode="0.00%">
                  <c:v>1.18255615234375E-4</c:v>
                </c:pt>
                <c:pt idx="278" formatCode="0.00%">
                  <c:v>9.7453594207763672E-5</c:v>
                </c:pt>
                <c:pt idx="279" formatCode="0.00%">
                  <c:v>1.0478496551513672E-4</c:v>
                </c:pt>
                <c:pt idx="280" formatCode="0.00%">
                  <c:v>7.5459480285644531E-5</c:v>
                </c:pt>
                <c:pt idx="281" formatCode="0.00%">
                  <c:v>5.3882598876953125E-5</c:v>
                </c:pt>
                <c:pt idx="282" formatCode="0.00%">
                  <c:v>8.6426734924316406E-5</c:v>
                </c:pt>
                <c:pt idx="283" formatCode="0.00%">
                  <c:v>9.3221664428710938E-5</c:v>
                </c:pt>
                <c:pt idx="284" formatCode="0.00%">
                  <c:v>5.0842761993408203E-5</c:v>
                </c:pt>
                <c:pt idx="285" formatCode="0.00%">
                  <c:v>6.7830085754394531E-5</c:v>
                </c:pt>
                <c:pt idx="286" formatCode="0.00%">
                  <c:v>1.0961294174194336E-4</c:v>
                </c:pt>
                <c:pt idx="287" formatCode="0.00%">
                  <c:v>6.8902969360351563E-5</c:v>
                </c:pt>
                <c:pt idx="288" formatCode="0.00%">
                  <c:v>8.0883502960205078E-5</c:v>
                </c:pt>
                <c:pt idx="289" formatCode="0.00%">
                  <c:v>6.6578388214111328E-5</c:v>
                </c:pt>
                <c:pt idx="290" formatCode="0.00%">
                  <c:v>3.2126903533935547E-5</c:v>
                </c:pt>
                <c:pt idx="291" formatCode="0.00%">
                  <c:v>5.8889389038085938E-5</c:v>
                </c:pt>
                <c:pt idx="292" formatCode="0.00%">
                  <c:v>4.4345855712890625E-5</c:v>
                </c:pt>
                <c:pt idx="293" formatCode="0.00%">
                  <c:v>2.3305416107177734E-5</c:v>
                </c:pt>
                <c:pt idx="294" formatCode="0.00%">
                  <c:v>6.9200992584228516E-5</c:v>
                </c:pt>
                <c:pt idx="295" formatCode="0.00%">
                  <c:v>8.0585479736328125E-5</c:v>
                </c:pt>
                <c:pt idx="296" formatCode="0.00%">
                  <c:v>6.1869621276855469E-5</c:v>
                </c:pt>
                <c:pt idx="297" formatCode="0.00%">
                  <c:v>4.7922134399414063E-5</c:v>
                </c:pt>
                <c:pt idx="298" formatCode="0.00%">
                  <c:v>9.1552734375E-5</c:v>
                </c:pt>
                <c:pt idx="299" formatCode="0.00%">
                  <c:v>6.0260295867919922E-5</c:v>
                </c:pt>
                <c:pt idx="300" formatCode="0.00%">
                  <c:v>6.8902969360351563E-5</c:v>
                </c:pt>
                <c:pt idx="301" formatCode="0.00%">
                  <c:v>1.8358230590820313E-5</c:v>
                </c:pt>
                <c:pt idx="302" formatCode="0.00%">
                  <c:v>5.5432319641113281E-6</c:v>
                </c:pt>
                <c:pt idx="303" formatCode="0.00%">
                  <c:v>7.8618526458740234E-5</c:v>
                </c:pt>
                <c:pt idx="304" formatCode="0.00%">
                  <c:v>7.6711177825927734E-5</c:v>
                </c:pt>
                <c:pt idx="305" formatCode="0.00%">
                  <c:v>3.2782554626464844E-5</c:v>
                </c:pt>
                <c:pt idx="306" formatCode="0.00%">
                  <c:v>4.291534423828125E-5</c:v>
                </c:pt>
                <c:pt idx="307" formatCode="0.00%">
                  <c:v>3.5703182220458984E-5</c:v>
                </c:pt>
                <c:pt idx="308" formatCode="0.00%">
                  <c:v>3.6656856536865234E-5</c:v>
                </c:pt>
                <c:pt idx="309" formatCode="0.00%">
                  <c:v>4.4882297515869141E-5</c:v>
                </c:pt>
                <c:pt idx="310" formatCode="0.00%">
                  <c:v>3.4570693969726563E-5</c:v>
                </c:pt>
                <c:pt idx="311" formatCode="0.00%">
                  <c:v>3.7908554077148438E-5</c:v>
                </c:pt>
                <c:pt idx="312" formatCode="0.00%">
                  <c:v>4.5955181121826172E-5</c:v>
                </c:pt>
                <c:pt idx="313" formatCode="0.00%">
                  <c:v>4.5716762542724609E-5</c:v>
                </c:pt>
                <c:pt idx="314" formatCode="0.00%">
                  <c:v>4.0590763092041016E-5</c:v>
                </c:pt>
                <c:pt idx="315" formatCode="0.00%">
                  <c:v>4.1544437408447266E-5</c:v>
                </c:pt>
                <c:pt idx="316" formatCode="0.00%">
                  <c:v>4.0292739868164063E-5</c:v>
                </c:pt>
                <c:pt idx="317" formatCode="0.00%">
                  <c:v>5.2928924560546875E-5</c:v>
                </c:pt>
                <c:pt idx="318" formatCode="0.00%">
                  <c:v>6.1452388763427734E-5</c:v>
                </c:pt>
                <c:pt idx="319" formatCode="0.00%">
                  <c:v>3.4868717193603516E-5</c:v>
                </c:pt>
                <c:pt idx="320" formatCode="0.00%">
                  <c:v>2.4318695068359375E-5</c:v>
                </c:pt>
                <c:pt idx="321" formatCode="0.00%">
                  <c:v>6.4969062805175781E-6</c:v>
                </c:pt>
                <c:pt idx="322" formatCode="0.00%">
                  <c:v>-5.3048133850097656E-6</c:v>
                </c:pt>
                <c:pt idx="323" formatCode="0.00%">
                  <c:v>9.0003013610839844E-6</c:v>
                </c:pt>
                <c:pt idx="324" formatCode="0.00%">
                  <c:v>3.2126903533935547E-5</c:v>
                </c:pt>
                <c:pt idx="325" formatCode="0.00%">
                  <c:v>5.1558017730712891E-5</c:v>
                </c:pt>
                <c:pt idx="326" formatCode="0.00%">
                  <c:v>4.1544437408447266E-5</c:v>
                </c:pt>
                <c:pt idx="327" formatCode="0.00%">
                  <c:v>4.8339366912841797E-5</c:v>
                </c:pt>
                <c:pt idx="328" formatCode="0.00%">
                  <c:v>6.3538551330566406E-5</c:v>
                </c:pt>
                <c:pt idx="329" formatCode="0.00%">
                  <c:v>6.4074993133544922E-5</c:v>
                </c:pt>
                <c:pt idx="330" formatCode="0.00%">
                  <c:v>8.5473060607910156E-5</c:v>
                </c:pt>
                <c:pt idx="331" formatCode="0.00%">
                  <c:v>4.1961669921875E-5</c:v>
                </c:pt>
                <c:pt idx="332" formatCode="0.00%">
                  <c:v>5.1558017730712891E-5</c:v>
                </c:pt>
                <c:pt idx="333" formatCode="0.00%">
                  <c:v>2.6941299438476563E-5</c:v>
                </c:pt>
                <c:pt idx="334" formatCode="0.00%">
                  <c:v>-9.8943710327148438E-6</c:v>
                </c:pt>
                <c:pt idx="335" formatCode="0.00%">
                  <c:v>4.6968460083007813E-5</c:v>
                </c:pt>
                <c:pt idx="336" formatCode="0.00%">
                  <c:v>2.8789043426513672E-5</c:v>
                </c:pt>
                <c:pt idx="337" formatCode="0.00%">
                  <c:v>1.8596649169921875E-5</c:v>
                </c:pt>
                <c:pt idx="338" formatCode="0.00%">
                  <c:v>1.52587890625E-5</c:v>
                </c:pt>
                <c:pt idx="339" formatCode="0.00%">
                  <c:v>3.3736228942871094E-5</c:v>
                </c:pt>
                <c:pt idx="340" formatCode="0.00%">
                  <c:v>1.1920928955078125E-5</c:v>
                </c:pt>
                <c:pt idx="341" formatCode="0.00%">
                  <c:v>4.6551227569580078E-5</c:v>
                </c:pt>
                <c:pt idx="342" formatCode="0.00%">
                  <c:v>3.7074089050292969E-5</c:v>
                </c:pt>
                <c:pt idx="343" formatCode="0.00%">
                  <c:v>1.0669231414794922E-5</c:v>
                </c:pt>
                <c:pt idx="344" formatCode="0.00%">
                  <c:v>4.3630599975585938E-5</c:v>
                </c:pt>
                <c:pt idx="345" formatCode="0.00%">
                  <c:v>3.2782554626464844E-5</c:v>
                </c:pt>
                <c:pt idx="346" formatCode="0.00%">
                  <c:v>4.4703483581542969E-6</c:v>
                </c:pt>
                <c:pt idx="347" formatCode="0.00%">
                  <c:v>4.1246414184570313E-5</c:v>
                </c:pt>
                <c:pt idx="348" formatCode="0.00%">
                  <c:v>-3.2186508178710938E-6</c:v>
                </c:pt>
                <c:pt idx="349" formatCode="0.00%">
                  <c:v>2.2232532501220703E-5</c:v>
                </c:pt>
                <c:pt idx="350" formatCode="0.00%">
                  <c:v>4.1723251342773438E-6</c:v>
                </c:pt>
                <c:pt idx="351" formatCode="0.00%">
                  <c:v>-2.3603439331054688E-5</c:v>
                </c:pt>
                <c:pt idx="352" formatCode="0.00%">
                  <c:v>-5.8412551879882813E-6</c:v>
                </c:pt>
                <c:pt idx="353" formatCode="0.00%">
                  <c:v>1.6510486602783203E-5</c:v>
                </c:pt>
                <c:pt idx="354" formatCode="0.00%">
                  <c:v>-1.7523765563964844E-5</c:v>
                </c:pt>
                <c:pt idx="355" formatCode="0.00%">
                  <c:v>4.8041343688964844E-5</c:v>
                </c:pt>
                <c:pt idx="356" formatCode="0.00%">
                  <c:v>2.2768974304199219E-5</c:v>
                </c:pt>
                <c:pt idx="357" formatCode="0.00%">
                  <c:v>5.5849552154541016E-5</c:v>
                </c:pt>
                <c:pt idx="358" formatCode="0.00%">
                  <c:v>1.4424324035644531E-5</c:v>
                </c:pt>
                <c:pt idx="359" formatCode="0.00%">
                  <c:v>2.6226043701171875E-5</c:v>
                </c:pt>
                <c:pt idx="360" formatCode="0.00%">
                  <c:v>-1.2218952178955078E-5</c:v>
                </c:pt>
                <c:pt idx="361" formatCode="0.00%">
                  <c:v>3.8087368011474609E-5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7-44B4-851E-D223EE503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473535"/>
        <c:axId val="1114468735"/>
      </c:scatterChart>
      <c:valAx>
        <c:axId val="11144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68735"/>
        <c:crosses val="autoZero"/>
        <c:crossBetween val="midCat"/>
      </c:valAx>
      <c:valAx>
        <c:axId val="11144687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7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error [Pa]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Sheet2!$H$4:$H$365</c:f>
              <c:numCache>
                <c:formatCode>General</c:formatCode>
                <c:ptCount val="362"/>
                <c:pt idx="0">
                  <c:v>0</c:v>
                </c:pt>
                <c:pt idx="1">
                  <c:v>2.0034278534440091</c:v>
                </c:pt>
                <c:pt idx="2">
                  <c:v>9.4777548450947506</c:v>
                </c:pt>
                <c:pt idx="3">
                  <c:v>13.438377601516549</c:v>
                </c:pt>
                <c:pt idx="4">
                  <c:v>-1.6489752332126955</c:v>
                </c:pt>
                <c:pt idx="5">
                  <c:v>13.792830221718759</c:v>
                </c:pt>
                <c:pt idx="6">
                  <c:v>4.4537742280226666</c:v>
                </c:pt>
                <c:pt idx="7">
                  <c:v>8.337342066995916</c:v>
                </c:pt>
                <c:pt idx="8">
                  <c:v>3.4828822682757163</c:v>
                </c:pt>
                <c:pt idx="9">
                  <c:v>17.383589374425355</c:v>
                </c:pt>
                <c:pt idx="10">
                  <c:v>10.448646804841701</c:v>
                </c:pt>
                <c:pt idx="11">
                  <c:v>8.3989860009460244</c:v>
                </c:pt>
                <c:pt idx="12">
                  <c:v>16.397286431194516</c:v>
                </c:pt>
                <c:pt idx="13">
                  <c:v>12.066800071072066</c:v>
                </c:pt>
                <c:pt idx="14">
                  <c:v>1.5719203157641459</c:v>
                </c:pt>
                <c:pt idx="15">
                  <c:v>9.0924802578956587</c:v>
                </c:pt>
                <c:pt idx="16">
                  <c:v>14.517146445650724</c:v>
                </c:pt>
                <c:pt idx="17">
                  <c:v>11.604470566438977</c:v>
                </c:pt>
                <c:pt idx="18">
                  <c:v>5.5941870061215013</c:v>
                </c:pt>
                <c:pt idx="19">
                  <c:v>11.465771715054871</c:v>
                </c:pt>
                <c:pt idx="20">
                  <c:v>16.67468413397728</c:v>
                </c:pt>
                <c:pt idx="21">
                  <c:v>13.500021535466658</c:v>
                </c:pt>
                <c:pt idx="22">
                  <c:v>9.8784404157777317</c:v>
                </c:pt>
                <c:pt idx="23">
                  <c:v>5.3784332373033976</c:v>
                </c:pt>
                <c:pt idx="24">
                  <c:v>8.9075484560453333</c:v>
                </c:pt>
                <c:pt idx="25">
                  <c:v>9.6318646799772978</c:v>
                </c:pt>
                <c:pt idx="26">
                  <c:v>10.710633524126024</c:v>
                </c:pt>
                <c:pt idx="27">
                  <c:v>7.7979576449142769</c:v>
                </c:pt>
                <c:pt idx="28">
                  <c:v>1.6797972001804737</c:v>
                </c:pt>
                <c:pt idx="29">
                  <c:v>14.686667264031712</c:v>
                </c:pt>
                <c:pt idx="30">
                  <c:v>11.928101219673408</c:v>
                </c:pt>
                <c:pt idx="31">
                  <c:v>9.0462473074439913</c:v>
                </c:pt>
                <c:pt idx="32">
                  <c:v>6.7500107677187771</c:v>
                </c:pt>
                <c:pt idx="33">
                  <c:v>1.9726058864616789</c:v>
                </c:pt>
                <c:pt idx="34">
                  <c:v>4.5924730794213247</c:v>
                </c:pt>
                <c:pt idx="35">
                  <c:v>13.469199568484328</c:v>
                </c:pt>
                <c:pt idx="36">
                  <c:v>2.2191816222621128</c:v>
                </c:pt>
                <c:pt idx="37">
                  <c:v>2.111304737845785</c:v>
                </c:pt>
                <c:pt idx="38">
                  <c:v>5.6712419235846028</c:v>
                </c:pt>
                <c:pt idx="39">
                  <c:v>13.792830221718759</c:v>
                </c:pt>
                <c:pt idx="40">
                  <c:v>4.7774048812716501</c:v>
                </c:pt>
                <c:pt idx="41">
                  <c:v>-0.75513819089974277</c:v>
                </c:pt>
                <c:pt idx="42">
                  <c:v>6.1027494612353621</c:v>
                </c:pt>
                <c:pt idx="43">
                  <c:v>-0.64726130648341496</c:v>
                </c:pt>
                <c:pt idx="44">
                  <c:v>2.4811683415755397</c:v>
                </c:pt>
                <c:pt idx="45">
                  <c:v>3.5137042352580465</c:v>
                </c:pt>
                <c:pt idx="46">
                  <c:v>2.6198671929596458</c:v>
                </c:pt>
                <c:pt idx="47">
                  <c:v>11.820224335271632</c:v>
                </c:pt>
                <c:pt idx="48">
                  <c:v>3.0205527636280749</c:v>
                </c:pt>
                <c:pt idx="49">
                  <c:v>4.6695279968553223</c:v>
                </c:pt>
                <c:pt idx="50">
                  <c:v>3.6678140701260418</c:v>
                </c:pt>
                <c:pt idx="51">
                  <c:v>0.29280868626665324</c:v>
                </c:pt>
                <c:pt idx="52">
                  <c:v>5.162679468470742</c:v>
                </c:pt>
                <c:pt idx="53">
                  <c:v>7.3664501072489657</c:v>
                </c:pt>
                <c:pt idx="54">
                  <c:v>7.4743269916507415</c:v>
                </c:pt>
                <c:pt idx="55">
                  <c:v>9.6935086139274063</c:v>
                </c:pt>
                <c:pt idx="56">
                  <c:v>4.4845961950049968</c:v>
                </c:pt>
                <c:pt idx="57">
                  <c:v>9.0924802578956587</c:v>
                </c:pt>
                <c:pt idx="58">
                  <c:v>-1.2945226129813818</c:v>
                </c:pt>
                <c:pt idx="59">
                  <c:v>-3.2363065324607305</c:v>
                </c:pt>
                <c:pt idx="60">
                  <c:v>4.2688424261577893</c:v>
                </c:pt>
                <c:pt idx="61">
                  <c:v>-5.1780904519546311</c:v>
                </c:pt>
                <c:pt idx="62">
                  <c:v>-6.9349425695836544</c:v>
                </c:pt>
                <c:pt idx="63">
                  <c:v>2.6198671929596458</c:v>
                </c:pt>
                <c:pt idx="64">
                  <c:v>6.210626345637138</c:v>
                </c:pt>
                <c:pt idx="65">
                  <c:v>8.2294651825795881</c:v>
                </c:pt>
                <c:pt idx="66">
                  <c:v>12.714061377584585</c:v>
                </c:pt>
                <c:pt idx="67">
                  <c:v>18.077083631389542</c:v>
                </c:pt>
                <c:pt idx="68">
                  <c:v>8.4452189514122438</c:v>
                </c:pt>
                <c:pt idx="69">
                  <c:v>6.8270656851673266</c:v>
                </c:pt>
                <c:pt idx="70">
                  <c:v>6.2876812630856875</c:v>
                </c:pt>
                <c:pt idx="71">
                  <c:v>8.7996715716144536</c:v>
                </c:pt>
                <c:pt idx="72">
                  <c:v>9.1541241918457672</c:v>
                </c:pt>
                <c:pt idx="73">
                  <c:v>0.94006999276462011</c:v>
                </c:pt>
                <c:pt idx="74">
                  <c:v>-1.7260301506466931</c:v>
                </c:pt>
                <c:pt idx="75">
                  <c:v>0.13869885139865801</c:v>
                </c:pt>
                <c:pt idx="76">
                  <c:v>6.9965865035483148</c:v>
                </c:pt>
                <c:pt idx="77">
                  <c:v>17.460644291859353</c:v>
                </c:pt>
                <c:pt idx="78">
                  <c:v>3.2671284994576126</c:v>
                </c:pt>
                <c:pt idx="79">
                  <c:v>7.6900807604979491</c:v>
                </c:pt>
                <c:pt idx="80">
                  <c:v>17.568521176275681</c:v>
                </c:pt>
                <c:pt idx="81">
                  <c:v>9.2003571423119865</c:v>
                </c:pt>
                <c:pt idx="82">
                  <c:v>23.85620243937592</c:v>
                </c:pt>
                <c:pt idx="83">
                  <c:v>18.292837400207645</c:v>
                </c:pt>
                <c:pt idx="84">
                  <c:v>20.835649675718741</c:v>
                </c:pt>
                <c:pt idx="85">
                  <c:v>10.279125986475265</c:v>
                </c:pt>
                <c:pt idx="86">
                  <c:v>11.681525483872974</c:v>
                </c:pt>
                <c:pt idx="87">
                  <c:v>4.9469256996235345</c:v>
                </c:pt>
                <c:pt idx="88">
                  <c:v>16.21235462934419</c:v>
                </c:pt>
                <c:pt idx="89">
                  <c:v>7.0428194539999822</c:v>
                </c:pt>
                <c:pt idx="90">
                  <c:v>-3.5907591526920442</c:v>
                </c:pt>
                <c:pt idx="91">
                  <c:v>-0.18493180186487734</c:v>
                </c:pt>
                <c:pt idx="92">
                  <c:v>-1.6489752332126955</c:v>
                </c:pt>
                <c:pt idx="93">
                  <c:v>-10.49487975530792</c:v>
                </c:pt>
                <c:pt idx="94">
                  <c:v>-2.5890452259773156</c:v>
                </c:pt>
                <c:pt idx="95">
                  <c:v>-5.6095979896199424</c:v>
                </c:pt>
                <c:pt idx="96">
                  <c:v>10.710633524126024</c:v>
                </c:pt>
                <c:pt idx="97">
                  <c:v>-0.86301507533062249</c:v>
                </c:pt>
                <c:pt idx="98">
                  <c:v>15.888723976080655</c:v>
                </c:pt>
                <c:pt idx="99">
                  <c:v>5.8099407749687089</c:v>
                </c:pt>
                <c:pt idx="100">
                  <c:v>7.8750125623482745</c:v>
                </c:pt>
                <c:pt idx="101">
                  <c:v>6.0256945437868126</c:v>
                </c:pt>
                <c:pt idx="102">
                  <c:v>2.3270585066784406</c:v>
                </c:pt>
                <c:pt idx="103">
                  <c:v>9.2311791092943167</c:v>
                </c:pt>
                <c:pt idx="104">
                  <c:v>13.869885139167309</c:v>
                </c:pt>
                <c:pt idx="105">
                  <c:v>4.6695279968553223</c:v>
                </c:pt>
                <c:pt idx="106">
                  <c:v>20.804827708750963</c:v>
                </c:pt>
                <c:pt idx="107">
                  <c:v>14.255159726366401</c:v>
                </c:pt>
                <c:pt idx="108">
                  <c:v>16.428108398162294</c:v>
                </c:pt>
                <c:pt idx="109">
                  <c:v>19.109619525072048</c:v>
                </c:pt>
                <c:pt idx="110">
                  <c:v>17.429822324891575</c:v>
                </c:pt>
                <c:pt idx="111">
                  <c:v>8.3989860009460244</c:v>
                </c:pt>
                <c:pt idx="112">
                  <c:v>4.0222666903573554</c:v>
                </c:pt>
                <c:pt idx="113">
                  <c:v>7.5513819090992911</c:v>
                </c:pt>
                <c:pt idx="114">
                  <c:v>6.2876812630856875</c:v>
                </c:pt>
                <c:pt idx="115">
                  <c:v>14.840777098914259</c:v>
                </c:pt>
                <c:pt idx="116">
                  <c:v>5.563365039153723</c:v>
                </c:pt>
                <c:pt idx="117">
                  <c:v>15.518860372380004</c:v>
                </c:pt>
                <c:pt idx="118">
                  <c:v>28.664429287600797</c:v>
                </c:pt>
                <c:pt idx="119">
                  <c:v>17.244890523041249</c:v>
                </c:pt>
                <c:pt idx="120">
                  <c:v>15.256873653081129</c:v>
                </c:pt>
                <c:pt idx="121">
                  <c:v>9.6318646799772978</c:v>
                </c:pt>
                <c:pt idx="122">
                  <c:v>22.345926057561883</c:v>
                </c:pt>
                <c:pt idx="123">
                  <c:v>16.921259869777714</c:v>
                </c:pt>
                <c:pt idx="124">
                  <c:v>13.33050071708567</c:v>
                </c:pt>
                <c:pt idx="125">
                  <c:v>26.583946516737342</c:v>
                </c:pt>
                <c:pt idx="126">
                  <c:v>16.921259869777714</c:v>
                </c:pt>
                <c:pt idx="127">
                  <c:v>22.484624908945989</c:v>
                </c:pt>
                <c:pt idx="128">
                  <c:v>14.840777098914259</c:v>
                </c:pt>
                <c:pt idx="129">
                  <c:v>8.876726489077555</c:v>
                </c:pt>
                <c:pt idx="130">
                  <c:v>18.000028713940992</c:v>
                </c:pt>
                <c:pt idx="131">
                  <c:v>23.239763099845732</c:v>
                </c:pt>
                <c:pt idx="132">
                  <c:v>6.2414483126194682</c:v>
                </c:pt>
                <c:pt idx="133">
                  <c:v>6.6421338833170012</c:v>
                </c:pt>
                <c:pt idx="134">
                  <c:v>10.525701722275699</c:v>
                </c:pt>
                <c:pt idx="135">
                  <c:v>20.188388369235327</c:v>
                </c:pt>
                <c:pt idx="136">
                  <c:v>11.250017946207663</c:v>
                </c:pt>
                <c:pt idx="137">
                  <c:v>17.429822324891575</c:v>
                </c:pt>
                <c:pt idx="138">
                  <c:v>14.578790379600832</c:v>
                </c:pt>
                <c:pt idx="139">
                  <c:v>19.895579682968673</c:v>
                </c:pt>
                <c:pt idx="140">
                  <c:v>16.70550610095961</c:v>
                </c:pt>
                <c:pt idx="141">
                  <c:v>5.3476112703210674</c:v>
                </c:pt>
                <c:pt idx="142">
                  <c:v>21.267157213398605</c:v>
                </c:pt>
                <c:pt idx="143">
                  <c:v>22.268871140098781</c:v>
                </c:pt>
                <c:pt idx="144">
                  <c:v>12.714061377584585</c:v>
                </c:pt>
                <c:pt idx="145">
                  <c:v>15.842491025614436</c:v>
                </c:pt>
                <c:pt idx="146">
                  <c:v>16.736328067927388</c:v>
                </c:pt>
                <c:pt idx="147">
                  <c:v>8.337342066995916</c:v>
                </c:pt>
                <c:pt idx="148">
                  <c:v>8.876726489077555</c:v>
                </c:pt>
                <c:pt idx="149">
                  <c:v>9.0462473074439913</c:v>
                </c:pt>
                <c:pt idx="150">
                  <c:v>6.7500107677187771</c:v>
                </c:pt>
                <c:pt idx="151">
                  <c:v>21.297979180366383</c:v>
                </c:pt>
                <c:pt idx="152">
                  <c:v>22.053117371280678</c:v>
                </c:pt>
                <c:pt idx="153">
                  <c:v>16.952081836760044</c:v>
                </c:pt>
                <c:pt idx="154">
                  <c:v>8.0445333807147108</c:v>
                </c:pt>
                <c:pt idx="155">
                  <c:v>9.0924802578956587</c:v>
                </c:pt>
                <c:pt idx="156">
                  <c:v>6.4572020814666757</c:v>
                </c:pt>
                <c:pt idx="157">
                  <c:v>9.3082340267283143</c:v>
                </c:pt>
                <c:pt idx="158">
                  <c:v>13.762008254750981</c:v>
                </c:pt>
                <c:pt idx="159">
                  <c:v>6.2876812630856875</c:v>
                </c:pt>
                <c:pt idx="160">
                  <c:v>8.3681640339636942</c:v>
                </c:pt>
                <c:pt idx="161">
                  <c:v>4.6695279968553223</c:v>
                </c:pt>
                <c:pt idx="162">
                  <c:v>12.744883344552363</c:v>
                </c:pt>
                <c:pt idx="163">
                  <c:v>9.5239877955755219</c:v>
                </c:pt>
                <c:pt idx="164">
                  <c:v>11.465771715054871</c:v>
                </c:pt>
                <c:pt idx="165">
                  <c:v>6.7500107677187771</c:v>
                </c:pt>
                <c:pt idx="166">
                  <c:v>15.580504306330113</c:v>
                </c:pt>
                <c:pt idx="167">
                  <c:v>17.707220027659787</c:v>
                </c:pt>
                <c:pt idx="168">
                  <c:v>24.811683415609878</c:v>
                </c:pt>
                <c:pt idx="169">
                  <c:v>8.722616654180456</c:v>
                </c:pt>
                <c:pt idx="170">
                  <c:v>13.931529073117417</c:v>
                </c:pt>
                <c:pt idx="171">
                  <c:v>10.818510408556904</c:v>
                </c:pt>
                <c:pt idx="172">
                  <c:v>10.664400573659805</c:v>
                </c:pt>
                <c:pt idx="173">
                  <c:v>1.1866457285796059</c:v>
                </c:pt>
                <c:pt idx="174">
                  <c:v>9.4469328781124204</c:v>
                </c:pt>
                <c:pt idx="175">
                  <c:v>13.006870063836686</c:v>
                </c:pt>
                <c:pt idx="176">
                  <c:v>-1.84931801854691</c:v>
                </c:pt>
                <c:pt idx="177">
                  <c:v>6.1335714282031404</c:v>
                </c:pt>
                <c:pt idx="178">
                  <c:v>8.5068628853623522</c:v>
                </c:pt>
                <c:pt idx="179">
                  <c:v>20.188388369235327</c:v>
                </c:pt>
                <c:pt idx="180">
                  <c:v>7.936656496298383</c:v>
                </c:pt>
                <c:pt idx="181">
                  <c:v>14.871599065882037</c:v>
                </c:pt>
                <c:pt idx="182">
                  <c:v>7.273984206316527</c:v>
                </c:pt>
                <c:pt idx="183">
                  <c:v>7.4435050246829633</c:v>
                </c:pt>
                <c:pt idx="184">
                  <c:v>16.67468413397728</c:v>
                </c:pt>
                <c:pt idx="185">
                  <c:v>21.482910982216708</c:v>
                </c:pt>
                <c:pt idx="186">
                  <c:v>13.068513997786795</c:v>
                </c:pt>
                <c:pt idx="187">
                  <c:v>11.573648599471198</c:v>
                </c:pt>
                <c:pt idx="188">
                  <c:v>20.54284098946664</c:v>
                </c:pt>
                <c:pt idx="189">
                  <c:v>7.3664501072489657</c:v>
                </c:pt>
                <c:pt idx="190">
                  <c:v>5.9948725768190343</c:v>
                </c:pt>
                <c:pt idx="191">
                  <c:v>3.8065129215392517</c:v>
                </c:pt>
                <c:pt idx="192">
                  <c:v>12.251731872936944</c:v>
                </c:pt>
                <c:pt idx="193">
                  <c:v>13.577076452900656</c:v>
                </c:pt>
                <c:pt idx="194">
                  <c:v>12.852760228968691</c:v>
                </c:pt>
                <c:pt idx="195">
                  <c:v>14.79454414844804</c:v>
                </c:pt>
                <c:pt idx="196">
                  <c:v>16.535985282578622</c:v>
                </c:pt>
                <c:pt idx="197">
                  <c:v>15.010297917280695</c:v>
                </c:pt>
                <c:pt idx="198">
                  <c:v>18.292837400207645</c:v>
                </c:pt>
                <c:pt idx="199">
                  <c:v>20.049689517836669</c:v>
                </c:pt>
                <c:pt idx="200">
                  <c:v>12.529129575705156</c:v>
                </c:pt>
                <c:pt idx="201">
                  <c:v>16.258587579795858</c:v>
                </c:pt>
                <c:pt idx="202">
                  <c:v>18.431536251591751</c:v>
                </c:pt>
                <c:pt idx="203">
                  <c:v>19.078797558089718</c:v>
                </c:pt>
                <c:pt idx="204">
                  <c:v>14.902421032864368</c:v>
                </c:pt>
                <c:pt idx="205">
                  <c:v>-1.1558237615972757</c:v>
                </c:pt>
                <c:pt idx="206">
                  <c:v>9.262001076262095</c:v>
                </c:pt>
                <c:pt idx="207">
                  <c:v>9.8013854983437341</c:v>
                </c:pt>
                <c:pt idx="208">
                  <c:v>11.527415649004979</c:v>
                </c:pt>
                <c:pt idx="209">
                  <c:v>8.9383704230276635</c:v>
                </c:pt>
                <c:pt idx="210">
                  <c:v>11.142141061791335</c:v>
                </c:pt>
                <c:pt idx="211">
                  <c:v>24.672984564225771</c:v>
                </c:pt>
                <c:pt idx="212">
                  <c:v>19.972634600402671</c:v>
                </c:pt>
                <c:pt idx="213">
                  <c:v>27.092508971836651</c:v>
                </c:pt>
                <c:pt idx="214">
                  <c:v>11.820224335271632</c:v>
                </c:pt>
                <c:pt idx="215">
                  <c:v>11.928101219673408</c:v>
                </c:pt>
                <c:pt idx="216">
                  <c:v>17.861329862556886</c:v>
                </c:pt>
                <c:pt idx="217">
                  <c:v>12.575362526171375</c:v>
                </c:pt>
                <c:pt idx="218">
                  <c:v>20.650717873868416</c:v>
                </c:pt>
                <c:pt idx="219">
                  <c:v>18.323659367189975</c:v>
                </c:pt>
                <c:pt idx="220">
                  <c:v>13.607898419868434</c:v>
                </c:pt>
                <c:pt idx="221">
                  <c:v>14.948653983330587</c:v>
                </c:pt>
                <c:pt idx="222">
                  <c:v>23.239763099845732</c:v>
                </c:pt>
                <c:pt idx="223">
                  <c:v>9.8784404157777317</c:v>
                </c:pt>
                <c:pt idx="224">
                  <c:v>12.606184493153705</c:v>
                </c:pt>
                <c:pt idx="225">
                  <c:v>16.921259869777714</c:v>
                </c:pt>
                <c:pt idx="226">
                  <c:v>27.046276021384983</c:v>
                </c:pt>
                <c:pt idx="227">
                  <c:v>23.671270637525595</c:v>
                </c:pt>
                <c:pt idx="228">
                  <c:v>29.820253049212624</c:v>
                </c:pt>
                <c:pt idx="229">
                  <c:v>18.647290020438959</c:v>
                </c:pt>
                <c:pt idx="230">
                  <c:v>17.537699209307902</c:v>
                </c:pt>
                <c:pt idx="231">
                  <c:v>9.2003571423119865</c:v>
                </c:pt>
                <c:pt idx="232">
                  <c:v>16.70550610095961</c:v>
                </c:pt>
                <c:pt idx="233">
                  <c:v>14.578790379600832</c:v>
                </c:pt>
                <c:pt idx="234">
                  <c:v>22.885310479614418</c:v>
                </c:pt>
                <c:pt idx="235">
                  <c:v>19.571949029705138</c:v>
                </c:pt>
                <c:pt idx="236">
                  <c:v>18.354481334157754</c:v>
                </c:pt>
                <c:pt idx="237">
                  <c:v>21.375034097800381</c:v>
                </c:pt>
                <c:pt idx="238">
                  <c:v>23.270585066828062</c:v>
                </c:pt>
                <c:pt idx="239">
                  <c:v>15.580504306330113</c:v>
                </c:pt>
                <c:pt idx="240">
                  <c:v>26.1216170120897</c:v>
                </c:pt>
                <c:pt idx="241">
                  <c:v>22.099350321732345</c:v>
                </c:pt>
                <c:pt idx="242">
                  <c:v>23.131886215443956</c:v>
                </c:pt>
                <c:pt idx="243">
                  <c:v>24.287709977041231</c:v>
                </c:pt>
                <c:pt idx="244">
                  <c:v>16.320231513745966</c:v>
                </c:pt>
                <c:pt idx="245">
                  <c:v>19.217496409502928</c:v>
                </c:pt>
                <c:pt idx="246">
                  <c:v>17.429822324891575</c:v>
                </c:pt>
                <c:pt idx="247">
                  <c:v>26.22949389652058</c:v>
                </c:pt>
                <c:pt idx="248">
                  <c:v>22.453802941963659</c:v>
                </c:pt>
                <c:pt idx="249">
                  <c:v>24.21065505957813</c:v>
                </c:pt>
                <c:pt idx="250">
                  <c:v>39.544583630107809</c:v>
                </c:pt>
                <c:pt idx="251">
                  <c:v>19.433250178321032</c:v>
                </c:pt>
                <c:pt idx="252">
                  <c:v>30.467514355696039</c:v>
                </c:pt>
                <c:pt idx="253">
                  <c:v>23.594215720062493</c:v>
                </c:pt>
                <c:pt idx="254">
                  <c:v>22.268871140098781</c:v>
                </c:pt>
                <c:pt idx="255">
                  <c:v>15.965778893543757</c:v>
                </c:pt>
                <c:pt idx="256">
                  <c:v>12.575362526171375</c:v>
                </c:pt>
                <c:pt idx="257">
                  <c:v>11.172963028773665</c:v>
                </c:pt>
                <c:pt idx="258">
                  <c:v>17.815096912076115</c:v>
                </c:pt>
                <c:pt idx="259">
                  <c:v>20.111333451786777</c:v>
                </c:pt>
                <c:pt idx="260">
                  <c:v>10.49487975530792</c:v>
                </c:pt>
                <c:pt idx="261">
                  <c:v>12.205498922470724</c:v>
                </c:pt>
                <c:pt idx="262">
                  <c:v>20.589073939918308</c:v>
                </c:pt>
                <c:pt idx="263">
                  <c:v>17.352767407457577</c:v>
                </c:pt>
                <c:pt idx="264">
                  <c:v>15.087352834714693</c:v>
                </c:pt>
                <c:pt idx="265">
                  <c:v>24.21065505957813</c:v>
                </c:pt>
                <c:pt idx="266">
                  <c:v>16.320231513745966</c:v>
                </c:pt>
                <c:pt idx="267">
                  <c:v>9.3082340267283143</c:v>
                </c:pt>
                <c:pt idx="268">
                  <c:v>34.613068913968164</c:v>
                </c:pt>
                <c:pt idx="269">
                  <c:v>21.991473437330569</c:v>
                </c:pt>
                <c:pt idx="270">
                  <c:v>18.077083631389542</c:v>
                </c:pt>
                <c:pt idx="271">
                  <c:v>18.184960515791317</c:v>
                </c:pt>
                <c:pt idx="272">
                  <c:v>19.787702798552345</c:v>
                </c:pt>
                <c:pt idx="273">
                  <c:v>20.758594758284744</c:v>
                </c:pt>
                <c:pt idx="274">
                  <c:v>20.080511484818999</c:v>
                </c:pt>
                <c:pt idx="275">
                  <c:v>31.222652546610334</c:v>
                </c:pt>
                <c:pt idx="276">
                  <c:v>20.650717873868416</c:v>
                </c:pt>
                <c:pt idx="277">
                  <c:v>30.575391240112367</c:v>
                </c:pt>
                <c:pt idx="278">
                  <c:v>25.196958002823521</c:v>
                </c:pt>
                <c:pt idx="279">
                  <c:v>27.092508971836651</c:v>
                </c:pt>
                <c:pt idx="280">
                  <c:v>19.510305095755029</c:v>
                </c:pt>
                <c:pt idx="281">
                  <c:v>13.931529073117417</c:v>
                </c:pt>
                <c:pt idx="282">
                  <c:v>22.345926057561883</c:v>
                </c:pt>
                <c:pt idx="283">
                  <c:v>24.102778175176354</c:v>
                </c:pt>
                <c:pt idx="284">
                  <c:v>13.145568915235344</c:v>
                </c:pt>
                <c:pt idx="285">
                  <c:v>17.537699209307902</c:v>
                </c:pt>
                <c:pt idx="286">
                  <c:v>28.340798634366365</c:v>
                </c:pt>
                <c:pt idx="287">
                  <c:v>17.815096912076115</c:v>
                </c:pt>
                <c:pt idx="288">
                  <c:v>20.912704593167291</c:v>
                </c:pt>
                <c:pt idx="289">
                  <c:v>17.214068556058919</c:v>
                </c:pt>
                <c:pt idx="290">
                  <c:v>8.3065201000135858</c:v>
                </c:pt>
                <c:pt idx="291">
                  <c:v>15.226051686098799</c:v>
                </c:pt>
                <c:pt idx="292">
                  <c:v>11.465771715054871</c:v>
                </c:pt>
                <c:pt idx="293">
                  <c:v>6.0256945437868126</c:v>
                </c:pt>
                <c:pt idx="294">
                  <c:v>17.892151829539216</c:v>
                </c:pt>
                <c:pt idx="295">
                  <c:v>20.835649675718741</c:v>
                </c:pt>
                <c:pt idx="296">
                  <c:v>15.996600860511535</c:v>
                </c:pt>
                <c:pt idx="297">
                  <c:v>12.39043072432105</c:v>
                </c:pt>
                <c:pt idx="298">
                  <c:v>23.671270637525595</c:v>
                </c:pt>
                <c:pt idx="299">
                  <c:v>15.580504306330113</c:v>
                </c:pt>
                <c:pt idx="300">
                  <c:v>17.815096912076115</c:v>
                </c:pt>
                <c:pt idx="301">
                  <c:v>4.7465829142893199</c:v>
                </c:pt>
                <c:pt idx="302">
                  <c:v>1.4332214643800398</c:v>
                </c:pt>
                <c:pt idx="303">
                  <c:v>20.327087220619433</c:v>
                </c:pt>
                <c:pt idx="304">
                  <c:v>19.833935749018565</c:v>
                </c:pt>
                <c:pt idx="305">
                  <c:v>8.476040918380022</c:v>
                </c:pt>
                <c:pt idx="306">
                  <c:v>11.095908111339668</c:v>
                </c:pt>
                <c:pt idx="307">
                  <c:v>9.2311791092943167</c:v>
                </c:pt>
                <c:pt idx="308">
                  <c:v>9.4777548450947506</c:v>
                </c:pt>
                <c:pt idx="309">
                  <c:v>11.604470566438977</c:v>
                </c:pt>
                <c:pt idx="310">
                  <c:v>8.9383704230276635</c:v>
                </c:pt>
                <c:pt idx="311">
                  <c:v>9.8013854983437341</c:v>
                </c:pt>
                <c:pt idx="312">
                  <c:v>11.881868269221741</c:v>
                </c:pt>
                <c:pt idx="313">
                  <c:v>11.820224335271632</c:v>
                </c:pt>
                <c:pt idx="314">
                  <c:v>10.49487975530792</c:v>
                </c:pt>
                <c:pt idx="315">
                  <c:v>10.741455491108354</c:v>
                </c:pt>
                <c:pt idx="316">
                  <c:v>10.417824837859371</c:v>
                </c:pt>
                <c:pt idx="317">
                  <c:v>13.684953337316983</c:v>
                </c:pt>
                <c:pt idx="318">
                  <c:v>15.888723976080655</c:v>
                </c:pt>
                <c:pt idx="319">
                  <c:v>9.0154253404616611</c:v>
                </c:pt>
                <c:pt idx="320">
                  <c:v>6.2876812630856875</c:v>
                </c:pt>
                <c:pt idx="321">
                  <c:v>1.6797972001804737</c:v>
                </c:pt>
                <c:pt idx="322">
                  <c:v>-1.3715775304153794</c:v>
                </c:pt>
                <c:pt idx="323">
                  <c:v>2.3270585066784406</c:v>
                </c:pt>
                <c:pt idx="324">
                  <c:v>8.3065201000135858</c:v>
                </c:pt>
                <c:pt idx="325">
                  <c:v>13.33050071708567</c:v>
                </c:pt>
                <c:pt idx="326">
                  <c:v>10.741455491108354</c:v>
                </c:pt>
                <c:pt idx="327">
                  <c:v>12.498307608737377</c:v>
                </c:pt>
                <c:pt idx="328">
                  <c:v>16.428108398162294</c:v>
                </c:pt>
                <c:pt idx="329">
                  <c:v>16.566807249575504</c:v>
                </c:pt>
                <c:pt idx="330">
                  <c:v>22.099350321732345</c:v>
                </c:pt>
                <c:pt idx="331">
                  <c:v>10.849332375539234</c:v>
                </c:pt>
                <c:pt idx="332">
                  <c:v>13.33050071708567</c:v>
                </c:pt>
                <c:pt idx="333">
                  <c:v>6.9657645365659846</c:v>
                </c:pt>
                <c:pt idx="334">
                  <c:v>-2.5582232589949854</c:v>
                </c:pt>
                <c:pt idx="335">
                  <c:v>12.143854988520616</c:v>
                </c:pt>
                <c:pt idx="336">
                  <c:v>7.4435050246829633</c:v>
                </c:pt>
                <c:pt idx="337">
                  <c:v>4.8082268482394284</c:v>
                </c:pt>
                <c:pt idx="338">
                  <c:v>3.9452117729233578</c:v>
                </c:pt>
                <c:pt idx="339">
                  <c:v>8.722616654180456</c:v>
                </c:pt>
                <c:pt idx="340">
                  <c:v>3.0821966976072872</c:v>
                </c:pt>
                <c:pt idx="341">
                  <c:v>12.035978104089736</c:v>
                </c:pt>
                <c:pt idx="342">
                  <c:v>9.5856317295256304</c:v>
                </c:pt>
                <c:pt idx="343">
                  <c:v>2.7585660443437519</c:v>
                </c:pt>
                <c:pt idx="344">
                  <c:v>11.280839913189993</c:v>
                </c:pt>
                <c:pt idx="345">
                  <c:v>8.476040918380022</c:v>
                </c:pt>
                <c:pt idx="346">
                  <c:v>1.1558237616118276</c:v>
                </c:pt>
                <c:pt idx="347">
                  <c:v>10.664400573659805</c:v>
                </c:pt>
                <c:pt idx="348">
                  <c:v>-0.83219310836284421</c:v>
                </c:pt>
                <c:pt idx="349">
                  <c:v>5.7482968410186004</c:v>
                </c:pt>
                <c:pt idx="350">
                  <c:v>1.0787688441487262</c:v>
                </c:pt>
                <c:pt idx="351">
                  <c:v>-6.1027494612353621</c:v>
                </c:pt>
                <c:pt idx="352">
                  <c:v>-1.5102763818285894</c:v>
                </c:pt>
                <c:pt idx="353">
                  <c:v>4.2688424261577893</c:v>
                </c:pt>
                <c:pt idx="354">
                  <c:v>-4.5308291454566643</c:v>
                </c:pt>
                <c:pt idx="355">
                  <c:v>12.42125269130338</c:v>
                </c:pt>
                <c:pt idx="356">
                  <c:v>5.8869956924027065</c:v>
                </c:pt>
                <c:pt idx="357">
                  <c:v>14.440091528216726</c:v>
                </c:pt>
                <c:pt idx="358">
                  <c:v>3.7294580040907022</c:v>
                </c:pt>
                <c:pt idx="359">
                  <c:v>6.7808327347011073</c:v>
                </c:pt>
                <c:pt idx="360">
                  <c:v>-3.1592516150267329</c:v>
                </c:pt>
                <c:pt idx="361">
                  <c:v>9.8476184488099534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1-4AC9-A9E5-BE368D15E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473535"/>
        <c:axId val="1114468735"/>
      </c:scatterChart>
      <c:valAx>
        <c:axId val="11144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68735"/>
        <c:crosses val="autoZero"/>
        <c:crossBetween val="midCat"/>
      </c:valAx>
      <c:valAx>
        <c:axId val="111446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7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72356</xdr:colOff>
      <xdr:row>2</xdr:row>
      <xdr:rowOff>99781</xdr:rowOff>
    </xdr:from>
    <xdr:to>
      <xdr:col>31</xdr:col>
      <xdr:colOff>19016</xdr:colOff>
      <xdr:row>19</xdr:row>
      <xdr:rowOff>151850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715A6-7088-0B96-132B-7DF1A3B28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553243</xdr:colOff>
      <xdr:row>19</xdr:row>
      <xdr:rowOff>127452</xdr:rowOff>
    </xdr:from>
    <xdr:to>
      <xdr:col>31</xdr:col>
      <xdr:colOff>34357</xdr:colOff>
      <xdr:row>35</xdr:row>
      <xdr:rowOff>176325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909B0C-6D24-ED4D-70F1-E496CB66F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96157</xdr:colOff>
      <xdr:row>2</xdr:row>
      <xdr:rowOff>135390</xdr:rowOff>
    </xdr:from>
    <xdr:to>
      <xdr:col>42</xdr:col>
      <xdr:colOff>186871</xdr:colOff>
      <xdr:row>19</xdr:row>
      <xdr:rowOff>7371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EBBEEF-21E8-44E9-BCCE-0A67FC2AD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74789</xdr:colOff>
      <xdr:row>19</xdr:row>
      <xdr:rowOff>132645</xdr:rowOff>
    </xdr:from>
    <xdr:to>
      <xdr:col>42</xdr:col>
      <xdr:colOff>165503</xdr:colOff>
      <xdr:row>36</xdr:row>
      <xdr:rowOff>10270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08F0B9-EC1C-4509-A551-0A1CE69B4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12700</xdr:colOff>
      <xdr:row>37</xdr:row>
      <xdr:rowOff>38100</xdr:rowOff>
    </xdr:from>
    <xdr:to>
      <xdr:col>26</xdr:col>
      <xdr:colOff>308612</xdr:colOff>
      <xdr:row>49</xdr:row>
      <xdr:rowOff>171766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15402F-5502-5A9B-C6D3-341433923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6616700"/>
          <a:ext cx="4563112" cy="2267266"/>
        </a:xfrm>
        <a:prstGeom prst="rect">
          <a:avLst/>
        </a:prstGeom>
      </xdr:spPr>
    </xdr:pic>
    <xdr:clientData/>
  </xdr:twoCellAnchor>
  <xdr:twoCellAnchor editAs="oneCell">
    <xdr:from>
      <xdr:col>19</xdr:col>
      <xdr:colOff>303077</xdr:colOff>
      <xdr:row>38</xdr:row>
      <xdr:rowOff>90407</xdr:rowOff>
    </xdr:from>
    <xdr:to>
      <xdr:col>26</xdr:col>
      <xdr:colOff>341564</xdr:colOff>
      <xdr:row>50</xdr:row>
      <xdr:rowOff>78165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F6D6D5C-3752-BFFD-BD1D-CFF1E6D51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30501" y="6961322"/>
          <a:ext cx="4287605" cy="21575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559341</xdr:colOff>
      <xdr:row>11</xdr:row>
      <xdr:rowOff>0</xdr:rowOff>
    </xdr:from>
    <xdr:to>
      <xdr:col>15</xdr:col>
      <xdr:colOff>64690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C7EE4-BB49-C329-341E-1C19E6ADA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113489</xdr:colOff>
      <xdr:row>11</xdr:row>
      <xdr:rowOff>24319</xdr:rowOff>
    </xdr:from>
    <xdr:to>
      <xdr:col>22</xdr:col>
      <xdr:colOff>16051</xdr:colOff>
      <xdr:row>26</xdr:row>
      <xdr:rowOff>24319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1C8F89-5759-4E8D-8B13-D962CF012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591671</xdr:colOff>
      <xdr:row>26</xdr:row>
      <xdr:rowOff>8964</xdr:rowOff>
    </xdr:from>
    <xdr:to>
      <xdr:col>15</xdr:col>
      <xdr:colOff>102885</xdr:colOff>
      <xdr:row>41</xdr:row>
      <xdr:rowOff>8964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67AD22-C7FB-458E-B558-B92A0DB12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152401</xdr:colOff>
      <xdr:row>26</xdr:row>
      <xdr:rowOff>46892</xdr:rowOff>
    </xdr:from>
    <xdr:to>
      <xdr:col>22</xdr:col>
      <xdr:colOff>62199</xdr:colOff>
      <xdr:row>41</xdr:row>
      <xdr:rowOff>46892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D03177-4704-41FE-8B82-197319D1B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152400</xdr:colOff>
      <xdr:row>12</xdr:row>
      <xdr:rowOff>23447</xdr:rowOff>
    </xdr:from>
    <xdr:to>
      <xdr:col>29</xdr:col>
      <xdr:colOff>460783</xdr:colOff>
      <xdr:row>27</xdr:row>
      <xdr:rowOff>23447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A53F0D-8993-494E-BD62-192D48D4F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1864-9A2F-473B-A4CB-902058640832}">
  <dimension ref="B4:Q44"/>
  <sheetViews>
    <sheetView zoomScale="59" zoomScaleNormal="68" workbookViewId="0">
      <selection activeCell="E28" sqref="E28"/>
    </sheetView>
  </sheetViews>
  <sheetFormatPr defaultRowHeight="14.45"/>
  <cols>
    <col min="16" max="16" width="17.5703125" bestFit="1" customWidth="1"/>
    <col min="17" max="17" width="12.5703125" bestFit="1" customWidth="1"/>
  </cols>
  <sheetData>
    <row r="4" spans="2:14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</row>
    <row r="5" spans="2:14">
      <c r="B5" t="s">
        <v>12</v>
      </c>
      <c r="C5" t="s">
        <v>13</v>
      </c>
      <c r="D5" t="s">
        <v>14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2:14">
      <c r="B6">
        <v>1</v>
      </c>
      <c r="C6">
        <v>1</v>
      </c>
      <c r="D6">
        <v>35</v>
      </c>
      <c r="E6">
        <v>2869841</v>
      </c>
      <c r="F6">
        <v>2865630</v>
      </c>
      <c r="G6">
        <v>2861821</v>
      </c>
      <c r="H6">
        <v>2858623</v>
      </c>
      <c r="I6">
        <v>2862871</v>
      </c>
      <c r="J6">
        <v>6080992</v>
      </c>
      <c r="K6">
        <v>6194944</v>
      </c>
      <c r="L6">
        <v>6062449</v>
      </c>
      <c r="M6">
        <v>6439592</v>
      </c>
      <c r="N6">
        <v>6278702</v>
      </c>
    </row>
    <row r="7" spans="2:14">
      <c r="B7">
        <v>2</v>
      </c>
      <c r="C7">
        <v>2</v>
      </c>
      <c r="D7">
        <v>35</v>
      </c>
      <c r="E7">
        <v>4134885</v>
      </c>
      <c r="F7">
        <v>4130761</v>
      </c>
      <c r="G7">
        <v>4127124</v>
      </c>
      <c r="H7">
        <v>4122966</v>
      </c>
      <c r="I7">
        <v>4127344</v>
      </c>
      <c r="J7">
        <v>6008327</v>
      </c>
      <c r="K7">
        <v>6146750</v>
      </c>
      <c r="L7">
        <v>6005602</v>
      </c>
      <c r="M7">
        <v>6425460</v>
      </c>
      <c r="N7">
        <v>6245450</v>
      </c>
    </row>
    <row r="8" spans="2:14">
      <c r="B8">
        <v>3</v>
      </c>
      <c r="C8">
        <v>3</v>
      </c>
      <c r="D8">
        <v>35</v>
      </c>
      <c r="E8">
        <v>5562458</v>
      </c>
      <c r="F8">
        <v>5558612</v>
      </c>
      <c r="G8">
        <v>5555604</v>
      </c>
      <c r="H8">
        <v>5549952</v>
      </c>
      <c r="I8">
        <v>5553978</v>
      </c>
      <c r="J8">
        <v>5930111</v>
      </c>
      <c r="K8">
        <v>6040888</v>
      </c>
      <c r="L8">
        <v>5892094</v>
      </c>
      <c r="M8">
        <v>6399339</v>
      </c>
      <c r="N8">
        <v>6209602</v>
      </c>
    </row>
    <row r="9" spans="2:14">
      <c r="B9">
        <v>4</v>
      </c>
      <c r="C9">
        <v>4</v>
      </c>
      <c r="D9">
        <v>35</v>
      </c>
      <c r="E9">
        <v>6755333</v>
      </c>
      <c r="F9">
        <v>6751429</v>
      </c>
      <c r="G9">
        <v>6748371</v>
      </c>
      <c r="H9">
        <v>6742652</v>
      </c>
      <c r="I9">
        <v>6746303</v>
      </c>
      <c r="J9">
        <v>5875641</v>
      </c>
      <c r="K9">
        <v>5997523</v>
      </c>
      <c r="L9">
        <v>5854157</v>
      </c>
      <c r="M9">
        <v>6389105</v>
      </c>
      <c r="N9">
        <v>6203172</v>
      </c>
    </row>
    <row r="10" spans="2:14">
      <c r="B10">
        <v>5</v>
      </c>
      <c r="C10">
        <v>3</v>
      </c>
      <c r="D10">
        <v>35</v>
      </c>
      <c r="E10">
        <v>5494788</v>
      </c>
      <c r="F10">
        <v>5491023</v>
      </c>
      <c r="G10">
        <v>5488118</v>
      </c>
      <c r="H10">
        <v>5482290</v>
      </c>
      <c r="I10">
        <v>5486003</v>
      </c>
      <c r="J10">
        <v>5841848</v>
      </c>
      <c r="K10">
        <v>5972118</v>
      </c>
      <c r="L10">
        <v>5820723</v>
      </c>
      <c r="M10">
        <v>6351385</v>
      </c>
      <c r="N10">
        <v>6198136</v>
      </c>
    </row>
    <row r="11" spans="2:14">
      <c r="B11">
        <v>6</v>
      </c>
      <c r="C11">
        <v>2</v>
      </c>
      <c r="D11">
        <v>35</v>
      </c>
      <c r="E11">
        <v>4142038</v>
      </c>
      <c r="F11">
        <v>4138311</v>
      </c>
      <c r="G11">
        <v>4134974</v>
      </c>
      <c r="H11">
        <v>4129464</v>
      </c>
      <c r="I11">
        <v>4133513</v>
      </c>
      <c r="J11">
        <v>5832039</v>
      </c>
      <c r="K11">
        <v>5965250</v>
      </c>
      <c r="L11">
        <v>5825148</v>
      </c>
      <c r="M11">
        <v>6355092</v>
      </c>
      <c r="N11">
        <v>6195151</v>
      </c>
    </row>
    <row r="12" spans="2:14">
      <c r="B12">
        <v>7</v>
      </c>
      <c r="C12">
        <v>1</v>
      </c>
      <c r="D12">
        <v>35</v>
      </c>
      <c r="E12">
        <v>2889743</v>
      </c>
      <c r="F12">
        <v>2885563</v>
      </c>
      <c r="G12">
        <v>2882107</v>
      </c>
      <c r="H12">
        <v>2877361</v>
      </c>
      <c r="I12">
        <v>2881777</v>
      </c>
      <c r="J12">
        <v>5871319</v>
      </c>
      <c r="K12">
        <v>6004915</v>
      </c>
      <c r="L12">
        <v>5858720</v>
      </c>
      <c r="M12">
        <v>6362537</v>
      </c>
      <c r="N12">
        <v>6198485</v>
      </c>
    </row>
    <row r="13" spans="2:14">
      <c r="B13">
        <v>8</v>
      </c>
      <c r="C13">
        <v>0</v>
      </c>
      <c r="D13">
        <v>35</v>
      </c>
      <c r="E13">
        <v>1730734</v>
      </c>
      <c r="F13">
        <v>1726016</v>
      </c>
      <c r="G13">
        <v>1722232</v>
      </c>
      <c r="H13">
        <v>1718532</v>
      </c>
      <c r="I13">
        <v>1722808</v>
      </c>
      <c r="J13">
        <v>5891753</v>
      </c>
      <c r="K13">
        <v>6025621</v>
      </c>
      <c r="L13">
        <v>5879714</v>
      </c>
      <c r="M13">
        <v>6362989</v>
      </c>
      <c r="N13">
        <v>6197660</v>
      </c>
    </row>
    <row r="14" spans="2:14">
      <c r="B14">
        <v>9</v>
      </c>
      <c r="C14">
        <v>0</v>
      </c>
      <c r="D14">
        <v>60</v>
      </c>
      <c r="E14">
        <v>1728538</v>
      </c>
      <c r="F14">
        <v>1723585</v>
      </c>
      <c r="G14">
        <v>1719345</v>
      </c>
      <c r="H14">
        <v>1717044</v>
      </c>
      <c r="I14">
        <v>1721481</v>
      </c>
      <c r="J14">
        <v>6168533</v>
      </c>
      <c r="K14">
        <v>6320790</v>
      </c>
      <c r="L14">
        <v>6233483</v>
      </c>
      <c r="M14">
        <v>6651245</v>
      </c>
      <c r="N14">
        <v>6429999</v>
      </c>
    </row>
    <row r="15" spans="2:14">
      <c r="B15">
        <v>10</v>
      </c>
      <c r="C15">
        <v>1</v>
      </c>
      <c r="D15">
        <v>60</v>
      </c>
      <c r="E15">
        <v>2867001</v>
      </c>
      <c r="F15">
        <v>2862470</v>
      </c>
      <c r="G15">
        <v>2858410</v>
      </c>
      <c r="H15">
        <v>2855580</v>
      </c>
      <c r="I15">
        <v>2859620</v>
      </c>
      <c r="J15">
        <v>6254304</v>
      </c>
      <c r="K15">
        <v>6413956</v>
      </c>
      <c r="L15">
        <v>6339667</v>
      </c>
      <c r="M15">
        <v>6790930</v>
      </c>
      <c r="N15">
        <v>6574699</v>
      </c>
    </row>
    <row r="16" spans="2:14">
      <c r="B16">
        <v>11</v>
      </c>
      <c r="C16">
        <v>2</v>
      </c>
      <c r="D16">
        <v>60</v>
      </c>
      <c r="E16">
        <v>4258021</v>
      </c>
      <c r="F16">
        <v>4254293</v>
      </c>
      <c r="G16">
        <v>4250391</v>
      </c>
      <c r="H16">
        <v>4246727</v>
      </c>
      <c r="I16">
        <v>4250587</v>
      </c>
      <c r="J16">
        <v>6319013</v>
      </c>
      <c r="K16">
        <v>6470465</v>
      </c>
      <c r="L16">
        <v>6398635</v>
      </c>
      <c r="M16">
        <v>6904369</v>
      </c>
      <c r="N16">
        <v>6707740</v>
      </c>
    </row>
    <row r="17" spans="2:17">
      <c r="B17">
        <v>12</v>
      </c>
      <c r="C17">
        <v>3</v>
      </c>
      <c r="D17">
        <v>60</v>
      </c>
      <c r="E17">
        <v>5585378</v>
      </c>
      <c r="F17">
        <v>5581626</v>
      </c>
      <c r="G17">
        <v>5577306</v>
      </c>
      <c r="H17">
        <v>5572587</v>
      </c>
      <c r="I17">
        <v>5576556</v>
      </c>
      <c r="J17">
        <v>6310411</v>
      </c>
      <c r="K17">
        <v>6461588</v>
      </c>
      <c r="L17">
        <v>6389615</v>
      </c>
      <c r="M17">
        <v>6963234</v>
      </c>
      <c r="N17">
        <v>6785876</v>
      </c>
    </row>
    <row r="18" spans="2:17">
      <c r="B18">
        <v>13</v>
      </c>
      <c r="C18">
        <v>4</v>
      </c>
      <c r="D18">
        <v>60</v>
      </c>
      <c r="E18">
        <v>6757090</v>
      </c>
      <c r="F18">
        <v>6752597</v>
      </c>
      <c r="G18">
        <v>6748973</v>
      </c>
      <c r="H18">
        <v>6743217</v>
      </c>
      <c r="I18">
        <v>6746697</v>
      </c>
      <c r="J18">
        <v>6292735</v>
      </c>
      <c r="K18">
        <v>6405430</v>
      </c>
      <c r="L18">
        <v>6310766</v>
      </c>
      <c r="M18">
        <v>7039192</v>
      </c>
      <c r="N18">
        <v>6836055</v>
      </c>
    </row>
    <row r="19" spans="2:17">
      <c r="B19">
        <v>14</v>
      </c>
      <c r="C19">
        <v>0</v>
      </c>
      <c r="D19">
        <v>105</v>
      </c>
      <c r="E19">
        <v>1724154</v>
      </c>
      <c r="F19">
        <v>1720832</v>
      </c>
      <c r="G19">
        <v>1716041</v>
      </c>
      <c r="H19">
        <v>1719038</v>
      </c>
      <c r="I19">
        <v>1720241</v>
      </c>
      <c r="J19">
        <v>7810883</v>
      </c>
      <c r="K19">
        <v>7952226</v>
      </c>
      <c r="L19">
        <v>7946586</v>
      </c>
      <c r="M19">
        <v>8193941</v>
      </c>
      <c r="N19">
        <v>7972939</v>
      </c>
    </row>
    <row r="20" spans="2:17">
      <c r="B20">
        <v>15</v>
      </c>
      <c r="C20">
        <v>1</v>
      </c>
      <c r="D20">
        <v>105</v>
      </c>
      <c r="E20">
        <v>2876447</v>
      </c>
      <c r="F20">
        <v>2873410</v>
      </c>
      <c r="G20">
        <v>2868595</v>
      </c>
      <c r="H20">
        <v>2871650</v>
      </c>
      <c r="I20">
        <v>2872396</v>
      </c>
      <c r="J20">
        <v>7861666</v>
      </c>
      <c r="K20">
        <v>8002123</v>
      </c>
      <c r="L20">
        <v>8023716</v>
      </c>
      <c r="M20">
        <v>8392855</v>
      </c>
      <c r="N20">
        <v>8116880</v>
      </c>
    </row>
    <row r="21" spans="2:17">
      <c r="B21">
        <v>16</v>
      </c>
      <c r="C21">
        <v>2</v>
      </c>
      <c r="D21">
        <v>105</v>
      </c>
      <c r="E21">
        <v>4207156</v>
      </c>
      <c r="F21">
        <v>4204442</v>
      </c>
      <c r="G21">
        <v>4199341</v>
      </c>
      <c r="H21">
        <v>4202783</v>
      </c>
      <c r="I21">
        <v>4202862</v>
      </c>
      <c r="J21">
        <v>7831934</v>
      </c>
      <c r="K21">
        <v>7921998</v>
      </c>
      <c r="L21">
        <v>7918842</v>
      </c>
      <c r="M21">
        <v>8530562</v>
      </c>
      <c r="N21">
        <v>8207179</v>
      </c>
    </row>
    <row r="22" spans="2:17">
      <c r="B22">
        <v>17</v>
      </c>
      <c r="C22">
        <v>3</v>
      </c>
      <c r="D22">
        <v>105</v>
      </c>
      <c r="E22">
        <v>5551303</v>
      </c>
      <c r="F22">
        <v>5549453</v>
      </c>
      <c r="G22">
        <v>5542238</v>
      </c>
      <c r="H22">
        <v>5546166</v>
      </c>
      <c r="I22">
        <v>5546741</v>
      </c>
      <c r="J22">
        <v>7705713</v>
      </c>
      <c r="K22">
        <v>7765019</v>
      </c>
      <c r="L22">
        <v>7763326</v>
      </c>
      <c r="M22">
        <v>8576620</v>
      </c>
      <c r="N22">
        <v>8331154</v>
      </c>
    </row>
    <row r="23" spans="2:17">
      <c r="B23">
        <v>18</v>
      </c>
      <c r="C23">
        <v>4</v>
      </c>
      <c r="D23">
        <v>105</v>
      </c>
      <c r="E23">
        <v>6771218</v>
      </c>
      <c r="F23">
        <v>6765658</v>
      </c>
      <c r="G23">
        <v>6759352</v>
      </c>
      <c r="H23">
        <v>6761295</v>
      </c>
      <c r="I23">
        <v>6760627</v>
      </c>
      <c r="J23">
        <v>7527323</v>
      </c>
      <c r="K23">
        <v>7560122</v>
      </c>
      <c r="L23">
        <v>7456932</v>
      </c>
      <c r="M23">
        <v>8582316</v>
      </c>
      <c r="N23">
        <v>8433447</v>
      </c>
    </row>
    <row r="26" spans="2:17">
      <c r="P26" t="s">
        <v>16</v>
      </c>
    </row>
    <row r="27" spans="2:17">
      <c r="B27">
        <f>B6</f>
        <v>1</v>
      </c>
      <c r="C27">
        <f t="shared" ref="C27:D27" si="0">C6</f>
        <v>1</v>
      </c>
      <c r="D27">
        <f t="shared" si="0"/>
        <v>35</v>
      </c>
      <c r="E27">
        <f>((E6-$Q$28)*($Q$30-$Q$29))/($Q$27-$Q$28)+$Q$29</f>
        <v>0.91858661501306738</v>
      </c>
      <c r="F27">
        <f t="shared" ref="F27:G27" si="1">((F6-$Q$28)*($Q$30-$Q$29))/($Q$27-$Q$28)+$Q$29</f>
        <v>0.91534183245536382</v>
      </c>
      <c r="G27">
        <f t="shared" si="1"/>
        <v>0.91240681066427076</v>
      </c>
      <c r="H27">
        <f>((H6-$Q$28)*($Q$30-$Q$29))/($Q$27-$Q$28)+$Q$29</f>
        <v>0.90994259441645886</v>
      </c>
      <c r="I27">
        <f>((I6-$Q$28)*($Q$30-$Q$29))/($Q$27-$Q$28)+$Q$29</f>
        <v>0.91321588729347725</v>
      </c>
      <c r="J27">
        <f>((J6)*($Q$37-$Q$36))/($Q$34-$Q$35)+$Q$36</f>
        <v>22.491077929203385</v>
      </c>
      <c r="K27">
        <f t="shared" ref="K27:N27" si="2">((K6)*($Q$37-$Q$36))/($Q$34-$Q$35)+$Q$36</f>
        <v>23.849491706460213</v>
      </c>
      <c r="L27">
        <f t="shared" si="2"/>
        <v>22.270028130413777</v>
      </c>
      <c r="M27">
        <f t="shared" si="2"/>
        <v>26.76592330729504</v>
      </c>
      <c r="N27">
        <f t="shared" si="2"/>
        <v>24.8479649333933</v>
      </c>
      <c r="P27" t="s">
        <v>17</v>
      </c>
      <c r="Q27">
        <f>0.9*2^24</f>
        <v>15099494.4</v>
      </c>
    </row>
    <row r="28" spans="2:17">
      <c r="B28">
        <f t="shared" ref="B28:D28" si="3">B7</f>
        <v>2</v>
      </c>
      <c r="C28">
        <f t="shared" si="3"/>
        <v>2</v>
      </c>
      <c r="D28">
        <f t="shared" si="3"/>
        <v>35</v>
      </c>
      <c r="E28">
        <f t="shared" ref="E28:H28" si="4">((E7-$Q$28)*($Q$30-$Q$29))/($Q$27-$Q$28)+$Q$29</f>
        <v>1.8933652200777873</v>
      </c>
      <c r="F28">
        <f t="shared" si="4"/>
        <v>1.8901874752979322</v>
      </c>
      <c r="G28">
        <f t="shared" si="4"/>
        <v>1.8873849879641951</v>
      </c>
      <c r="H28">
        <f t="shared" si="4"/>
        <v>1.8841810445125369</v>
      </c>
      <c r="I28">
        <f t="shared" ref="I28" si="5">((I7-$Q$28)*($Q$30-$Q$29))/($Q$27-$Q$28)+$Q$29</f>
        <v>1.8875545087817429</v>
      </c>
      <c r="J28">
        <f t="shared" ref="J28:N44" si="6">((J7)*($Q$37-$Q$36))/($Q$34-$Q$35)+$Q$36</f>
        <v>21.624843575051045</v>
      </c>
      <c r="K28">
        <f t="shared" si="6"/>
        <v>23.274974422155282</v>
      </c>
      <c r="L28">
        <f t="shared" si="6"/>
        <v>21.592359041712228</v>
      </c>
      <c r="M28">
        <f t="shared" si="6"/>
        <v>26.597456729260486</v>
      </c>
      <c r="N28">
        <f t="shared" si="6"/>
        <v>24.451570180152075</v>
      </c>
      <c r="P28" t="s">
        <v>18</v>
      </c>
      <c r="Q28">
        <f>0.1*2^24</f>
        <v>1677721.6000000001</v>
      </c>
    </row>
    <row r="29" spans="2:17">
      <c r="B29">
        <f t="shared" ref="B29:D29" si="7">B8</f>
        <v>3</v>
      </c>
      <c r="C29">
        <f t="shared" si="7"/>
        <v>3</v>
      </c>
      <c r="D29">
        <f t="shared" si="7"/>
        <v>35</v>
      </c>
      <c r="E29">
        <f t="shared" ref="E29:H29" si="8">((E8-$Q$28)*($Q$30-$Q$29))/($Q$27-$Q$28)+$Q$29</f>
        <v>2.9933804113028022</v>
      </c>
      <c r="F29">
        <f t="shared" si="8"/>
        <v>2.9904168791923937</v>
      </c>
      <c r="G29">
        <f t="shared" si="8"/>
        <v>2.9880990672870098</v>
      </c>
      <c r="H29">
        <f t="shared" si="8"/>
        <v>2.9837439233743668</v>
      </c>
      <c r="I29">
        <f t="shared" ref="I29" si="9">((I8-$Q$28)*($Q$30-$Q$29))/($Q$27-$Q$28)+$Q$29</f>
        <v>2.9868461543354954</v>
      </c>
      <c r="J29">
        <f t="shared" si="6"/>
        <v>20.692436140324844</v>
      </c>
      <c r="K29">
        <f t="shared" si="6"/>
        <v>22.013000965893326</v>
      </c>
      <c r="L29">
        <f t="shared" si="6"/>
        <v>20.239238157226936</v>
      </c>
      <c r="M29">
        <f t="shared" si="6"/>
        <v>26.286070125464803</v>
      </c>
      <c r="N29">
        <f t="shared" si="6"/>
        <v>24.024228693498898</v>
      </c>
      <c r="P29" t="s">
        <v>19</v>
      </c>
      <c r="Q29">
        <v>0</v>
      </c>
    </row>
    <row r="30" spans="2:17">
      <c r="B30">
        <f t="shared" ref="B30:D30" si="10">B9</f>
        <v>4</v>
      </c>
      <c r="C30">
        <f t="shared" si="10"/>
        <v>4</v>
      </c>
      <c r="D30">
        <f t="shared" si="10"/>
        <v>35</v>
      </c>
      <c r="E30">
        <f t="shared" ref="E30:H30" si="11">((E9-$Q$28)*($Q$30-$Q$29))/($Q$27-$Q$28)+$Q$29</f>
        <v>3.9125492532692299</v>
      </c>
      <c r="F30">
        <f t="shared" si="11"/>
        <v>3.909541029306923</v>
      </c>
      <c r="G30">
        <f t="shared" si="11"/>
        <v>3.9071846899430054</v>
      </c>
      <c r="H30">
        <f t="shared" si="11"/>
        <v>3.9027779192359273</v>
      </c>
      <c r="I30">
        <f t="shared" ref="I30" si="12">((I9-$Q$28)*($Q$30-$Q$29))/($Q$27-$Q$28)+$Q$29</f>
        <v>3.9055911942580539</v>
      </c>
      <c r="J30">
        <f t="shared" si="6"/>
        <v>20.043103101438476</v>
      </c>
      <c r="K30">
        <f t="shared" si="6"/>
        <v>21.496049850943677</v>
      </c>
      <c r="L30">
        <f t="shared" si="6"/>
        <v>19.786993848502263</v>
      </c>
      <c r="M30">
        <f t="shared" si="6"/>
        <v>26.16407133126684</v>
      </c>
      <c r="N30">
        <f t="shared" si="6"/>
        <v>23.947577115748942</v>
      </c>
      <c r="P30" t="s">
        <v>20</v>
      </c>
      <c r="Q30">
        <v>10.342135900000001</v>
      </c>
    </row>
    <row r="31" spans="2:17">
      <c r="B31">
        <f t="shared" ref="B31:D31" si="13">B10</f>
        <v>5</v>
      </c>
      <c r="C31">
        <f t="shared" si="13"/>
        <v>3</v>
      </c>
      <c r="D31">
        <f t="shared" si="13"/>
        <v>35</v>
      </c>
      <c r="E31">
        <f t="shared" ref="E31:H31" si="14">((E10-$Q$28)*($Q$30-$Q$29))/($Q$27-$Q$28)+$Q$29</f>
        <v>2.9412373489233672</v>
      </c>
      <c r="F31">
        <f t="shared" si="14"/>
        <v>2.9383362312957839</v>
      </c>
      <c r="G31">
        <f t="shared" si="14"/>
        <v>2.9360977859549791</v>
      </c>
      <c r="H31">
        <f t="shared" si="14"/>
        <v>2.9316070253882973</v>
      </c>
      <c r="I31">
        <f t="shared" ref="I31" si="15">((I10-$Q$28)*($Q$30-$Q$29))/($Q$27-$Q$28)+$Q$29</f>
        <v>2.9344680744590059</v>
      </c>
      <c r="J31">
        <f t="shared" si="6"/>
        <v>19.640259125248136</v>
      </c>
      <c r="K31">
        <f t="shared" si="6"/>
        <v>21.19319863278858</v>
      </c>
      <c r="L31">
        <f t="shared" si="6"/>
        <v>19.388429486061895</v>
      </c>
      <c r="M31">
        <f t="shared" si="6"/>
        <v>25.714413864279621</v>
      </c>
      <c r="N31">
        <f t="shared" si="6"/>
        <v>23.887543313952875</v>
      </c>
    </row>
    <row r="32" spans="2:17">
      <c r="B32">
        <f t="shared" ref="B32:D32" si="16">B11</f>
        <v>6</v>
      </c>
      <c r="C32">
        <f t="shared" si="16"/>
        <v>2</v>
      </c>
      <c r="D32">
        <f t="shared" si="16"/>
        <v>35</v>
      </c>
      <c r="E32">
        <f t="shared" ref="E32:H32" si="17">((E11-$Q$28)*($Q$30-$Q$29))/($Q$27-$Q$28)+$Q$29</f>
        <v>1.8988769582956104</v>
      </c>
      <c r="F32">
        <f t="shared" si="17"/>
        <v>1.8960051215365128</v>
      </c>
      <c r="G32">
        <f t="shared" si="17"/>
        <v>1.8934337989539773</v>
      </c>
      <c r="H32">
        <f t="shared" si="17"/>
        <v>1.8891880730235695</v>
      </c>
      <c r="I32">
        <f t="shared" ref="I32" si="18">((I11-$Q$28)*($Q$30-$Q$29))/($Q$27-$Q$28)+$Q$29</f>
        <v>1.892308026615624</v>
      </c>
      <c r="J32">
        <f t="shared" si="6"/>
        <v>19.523326726158061</v>
      </c>
      <c r="K32">
        <f t="shared" si="6"/>
        <v>21.111325687845095</v>
      </c>
      <c r="L32">
        <f t="shared" si="6"/>
        <v>19.441179599832267</v>
      </c>
      <c r="M32">
        <f t="shared" si="6"/>
        <v>25.758604750550077</v>
      </c>
      <c r="N32">
        <f t="shared" si="6"/>
        <v>23.851959338900997</v>
      </c>
    </row>
    <row r="33" spans="2:17">
      <c r="B33">
        <f t="shared" ref="B33:D33" si="19">B12</f>
        <v>7</v>
      </c>
      <c r="C33">
        <f t="shared" si="19"/>
        <v>1</v>
      </c>
      <c r="D33">
        <f t="shared" si="19"/>
        <v>35</v>
      </c>
      <c r="E33">
        <f t="shared" ref="E33:H33" si="20">((E12-$Q$28)*($Q$30-$Q$29))/($Q$27-$Q$28)+$Q$29</f>
        <v>0.93392208460779924</v>
      </c>
      <c r="F33">
        <f t="shared" si="20"/>
        <v>0.93070118907438659</v>
      </c>
      <c r="G33">
        <f t="shared" si="20"/>
        <v>0.9280381711405411</v>
      </c>
      <c r="H33">
        <f t="shared" si="20"/>
        <v>0.92438114477652744</v>
      </c>
      <c r="I33">
        <f t="shared" ref="I33" si="21">((I12-$Q$28)*($Q$30-$Q$29))/($Q$27-$Q$28)+$Q$29</f>
        <v>0.92778388991421901</v>
      </c>
      <c r="J33">
        <f t="shared" si="6"/>
        <v>19.991580843423648</v>
      </c>
      <c r="K33">
        <f t="shared" si="6"/>
        <v>21.584169363031947</v>
      </c>
      <c r="L33">
        <f t="shared" si="6"/>
        <v>19.841389050566491</v>
      </c>
      <c r="M33">
        <f t="shared" si="6"/>
        <v>25.847356071910625</v>
      </c>
      <c r="N33">
        <f t="shared" si="6"/>
        <v>23.891703718406177</v>
      </c>
      <c r="P33" t="s">
        <v>21</v>
      </c>
    </row>
    <row r="34" spans="2:17">
      <c r="B34">
        <f t="shared" ref="B34:D34" si="22">B13</f>
        <v>8</v>
      </c>
      <c r="C34">
        <f t="shared" si="22"/>
        <v>0</v>
      </c>
      <c r="D34">
        <f t="shared" si="22"/>
        <v>35</v>
      </c>
      <c r="E34">
        <f t="shared" ref="E34:H34" si="23">((E13-$Q$28)*($Q$30-$Q$29))/($Q$27-$Q$28)+$Q$29</f>
        <v>4.084866085537963E-2</v>
      </c>
      <c r="F34">
        <f t="shared" si="23"/>
        <v>3.7213209868144914E-2</v>
      </c>
      <c r="G34">
        <f t="shared" si="23"/>
        <v>3.4297451806318685E-2</v>
      </c>
      <c r="H34">
        <f t="shared" si="23"/>
        <v>3.1446419874828983E-2</v>
      </c>
      <c r="I34">
        <f t="shared" ref="I34" si="24">((I13-$Q$28)*($Q$30-$Q$29))/($Q$27-$Q$28)+$Q$29</f>
        <v>3.4741288128626278E-2</v>
      </c>
      <c r="J34">
        <f t="shared" si="6"/>
        <v>20.235173120210959</v>
      </c>
      <c r="K34">
        <f t="shared" si="6"/>
        <v>21.831004132688292</v>
      </c>
      <c r="L34">
        <f t="shared" si="6"/>
        <v>20.091657047966549</v>
      </c>
      <c r="M34">
        <f t="shared" si="6"/>
        <v>25.852744332119485</v>
      </c>
      <c r="N34">
        <f t="shared" si="6"/>
        <v>23.88186895143204</v>
      </c>
      <c r="P34" t="s">
        <v>17</v>
      </c>
      <c r="Q34">
        <f>2^24</f>
        <v>16777216</v>
      </c>
    </row>
    <row r="35" spans="2:17">
      <c r="B35">
        <f t="shared" ref="B35:D35" si="25">B14</f>
        <v>9</v>
      </c>
      <c r="C35">
        <f t="shared" si="25"/>
        <v>0</v>
      </c>
      <c r="D35">
        <f t="shared" si="25"/>
        <v>60</v>
      </c>
      <c r="E35">
        <f t="shared" ref="E35:H35" si="26">((E14-$Q$28)*($Q$30-$Q$29))/($Q$27-$Q$28)+$Q$29</f>
        <v>3.9156534876581953E-2</v>
      </c>
      <c r="F35">
        <f t="shared" si="26"/>
        <v>3.534000483423911E-2</v>
      </c>
      <c r="G35">
        <f t="shared" si="26"/>
        <v>3.2072876350586046E-2</v>
      </c>
      <c r="H35">
        <f t="shared" si="26"/>
        <v>3.0299842708867715E-2</v>
      </c>
      <c r="I35">
        <f t="shared" ref="I35" si="27">((I14-$Q$28)*($Q$30-$Q$29))/($Q$27-$Q$28)+$Q$29</f>
        <v>3.3718769379143344E-2</v>
      </c>
      <c r="J35">
        <f t="shared" si="6"/>
        <v>23.534648033061501</v>
      </c>
      <c r="K35">
        <f t="shared" si="6"/>
        <v>25.34969302115995</v>
      </c>
      <c r="L35">
        <f t="shared" si="6"/>
        <v>24.30891241484359</v>
      </c>
      <c r="M35">
        <f t="shared" si="6"/>
        <v>29.289023833812706</v>
      </c>
      <c r="N35">
        <f t="shared" si="6"/>
        <v>26.651565829012739</v>
      </c>
      <c r="P35" t="s">
        <v>18</v>
      </c>
      <c r="Q35">
        <v>1</v>
      </c>
    </row>
    <row r="36" spans="2:17">
      <c r="B36">
        <f t="shared" ref="B36:D36" si="28">B15</f>
        <v>10</v>
      </c>
      <c r="C36">
        <f t="shared" si="28"/>
        <v>1</v>
      </c>
      <c r="D36">
        <f t="shared" si="28"/>
        <v>60</v>
      </c>
      <c r="E36">
        <f t="shared" ref="E36:H36" si="29">((E15-$Q$28)*($Q$30-$Q$29))/($Q$27-$Q$28)+$Q$29</f>
        <v>0.9163982553683564</v>
      </c>
      <c r="F36">
        <f t="shared" si="29"/>
        <v>0.91290689707603745</v>
      </c>
      <c r="G36">
        <f t="shared" si="29"/>
        <v>0.90977846744310553</v>
      </c>
      <c r="H36">
        <f t="shared" si="29"/>
        <v>0.90759781329010114</v>
      </c>
      <c r="I36">
        <f t="shared" ref="I36" si="30">((I15-$Q$28)*($Q$30-$Q$29))/($Q$27-$Q$28)+$Q$29</f>
        <v>0.91071083193961977</v>
      </c>
      <c r="J36">
        <f t="shared" si="6"/>
        <v>24.557118091411482</v>
      </c>
      <c r="K36">
        <f t="shared" si="6"/>
        <v>26.460318354387184</v>
      </c>
      <c r="L36">
        <f t="shared" si="6"/>
        <v>25.574724410457875</v>
      </c>
      <c r="M36">
        <f t="shared" si="6"/>
        <v>30.954198894154956</v>
      </c>
      <c r="N36">
        <f t="shared" si="6"/>
        <v>28.376524351628092</v>
      </c>
      <c r="P36" t="s">
        <v>22</v>
      </c>
      <c r="Q36">
        <v>-50</v>
      </c>
    </row>
    <row r="37" spans="2:17">
      <c r="B37">
        <f t="shared" ref="B37:D37" si="31">B16</f>
        <v>11</v>
      </c>
      <c r="C37">
        <f t="shared" si="31"/>
        <v>2</v>
      </c>
      <c r="D37">
        <f t="shared" si="31"/>
        <v>60</v>
      </c>
      <c r="E37">
        <f t="shared" ref="E37:H37" si="32">((E16-$Q$28)*($Q$30-$Q$29))/($Q$27-$Q$28)+$Q$29</f>
        <v>1.9882475627577647</v>
      </c>
      <c r="F37">
        <f t="shared" si="32"/>
        <v>1.9853749554494962</v>
      </c>
      <c r="G37">
        <f t="shared" si="32"/>
        <v>1.9823682725855307</v>
      </c>
      <c r="H37">
        <f t="shared" si="32"/>
        <v>1.9795449804241851</v>
      </c>
      <c r="I37">
        <f t="shared" ref="I37" si="33">((I16-$Q$28)*($Q$30-$Q$29))/($Q$27-$Q$28)+$Q$29</f>
        <v>1.9825193002229824</v>
      </c>
      <c r="J37">
        <f t="shared" si="6"/>
        <v>25.328509529144142</v>
      </c>
      <c r="K37">
        <f t="shared" si="6"/>
        <v>27.133958168861753</v>
      </c>
      <c r="L37">
        <f t="shared" si="6"/>
        <v>26.277677790980206</v>
      </c>
      <c r="M37">
        <f t="shared" si="6"/>
        <v>32.306497234493335</v>
      </c>
      <c r="N37">
        <f t="shared" si="6"/>
        <v>29.962496755271957</v>
      </c>
      <c r="P37" t="s">
        <v>23</v>
      </c>
      <c r="Q37">
        <v>150</v>
      </c>
    </row>
    <row r="38" spans="2:17">
      <c r="B38">
        <f t="shared" ref="B38:D38" si="34">B17</f>
        <v>12</v>
      </c>
      <c r="C38">
        <f t="shared" si="34"/>
        <v>3</v>
      </c>
      <c r="D38">
        <f t="shared" si="34"/>
        <v>60</v>
      </c>
      <c r="E38">
        <f t="shared" ref="E38:H38" si="35">((E17-$Q$28)*($Q$30-$Q$29))/($Q$27-$Q$28)+$Q$29</f>
        <v>3.0110413982946249</v>
      </c>
      <c r="F38">
        <f t="shared" si="35"/>
        <v>3.0081502978062602</v>
      </c>
      <c r="G38">
        <f t="shared" si="35"/>
        <v>3.004821525388953</v>
      </c>
      <c r="H38">
        <f t="shared" si="35"/>
        <v>3.0011853038525476</v>
      </c>
      <c r="I38">
        <f t="shared" ref="I38" si="36">((I17-$Q$28)*($Q$30-$Q$29))/($Q$27-$Q$28)+$Q$29</f>
        <v>3.0042436135109485</v>
      </c>
      <c r="J38">
        <f t="shared" si="6"/>
        <v>25.225965692160472</v>
      </c>
      <c r="K38">
        <f t="shared" si="6"/>
        <v>27.028136076220036</v>
      </c>
      <c r="L38">
        <f t="shared" si="6"/>
        <v>26.170151005396306</v>
      </c>
      <c r="M38">
        <f t="shared" si="6"/>
        <v>33.008222759260107</v>
      </c>
      <c r="N38">
        <f t="shared" si="6"/>
        <v>30.893950515624908</v>
      </c>
    </row>
    <row r="39" spans="2:17">
      <c r="B39">
        <f t="shared" ref="B39:D39" si="37">B18</f>
        <v>13</v>
      </c>
      <c r="C39">
        <f t="shared" si="37"/>
        <v>4</v>
      </c>
      <c r="D39">
        <f t="shared" si="37"/>
        <v>60</v>
      </c>
      <c r="E39">
        <f t="shared" ref="E39:H39" si="38">((E18-$Q$28)*($Q$30-$Q$29))/($Q$27-$Q$28)+$Q$29</f>
        <v>3.9139031081621027</v>
      </c>
      <c r="F39">
        <f t="shared" si="38"/>
        <v>3.9104410307382689</v>
      </c>
      <c r="G39">
        <f t="shared" si="38"/>
        <v>3.9076485605437505</v>
      </c>
      <c r="H39">
        <f t="shared" si="38"/>
        <v>3.9032132795173573</v>
      </c>
      <c r="I39">
        <f t="shared" ref="I39" si="39">((I18-$Q$28)*($Q$30-$Q$29))/($Q$27-$Q$28)+$Q$29</f>
        <v>3.9058947906312991</v>
      </c>
      <c r="J39">
        <f t="shared" si="6"/>
        <v>25.015251339390957</v>
      </c>
      <c r="K39">
        <f t="shared" si="6"/>
        <v>26.3586805080581</v>
      </c>
      <c r="L39">
        <f t="shared" si="6"/>
        <v>25.230197622191767</v>
      </c>
      <c r="M39">
        <f t="shared" si="6"/>
        <v>33.913712734801337</v>
      </c>
      <c r="N39">
        <f t="shared" si="6"/>
        <v>31.492130845316098</v>
      </c>
    </row>
    <row r="40" spans="2:17">
      <c r="B40">
        <f t="shared" ref="B40:D40" si="40">B19</f>
        <v>14</v>
      </c>
      <c r="C40">
        <f t="shared" si="40"/>
        <v>0</v>
      </c>
      <c r="D40">
        <f t="shared" si="40"/>
        <v>105</v>
      </c>
      <c r="E40">
        <f t="shared" ref="E40:H40" si="41">((E19-$Q$28)*($Q$30-$Q$29))/($Q$27-$Q$28)+$Q$29</f>
        <v>3.5778447312351989E-2</v>
      </c>
      <c r="F40">
        <f t="shared" si="41"/>
        <v>3.3218682967376637E-2</v>
      </c>
      <c r="G40">
        <f t="shared" si="41"/>
        <v>2.9526981890682806E-2</v>
      </c>
      <c r="H40">
        <f t="shared" si="41"/>
        <v>3.1836317755189469E-2</v>
      </c>
      <c r="I40">
        <f t="shared" ref="I40" si="42">((I19-$Q$28)*($Q$30-$Q$29))/($Q$27-$Q$28)+$Q$29</f>
        <v>3.2763288407508959E-2</v>
      </c>
      <c r="J40">
        <f t="shared" si="6"/>
        <v>43.112986869393993</v>
      </c>
      <c r="K40">
        <f t="shared" si="6"/>
        <v>44.797926831121856</v>
      </c>
      <c r="L40">
        <f t="shared" si="6"/>
        <v>44.730692787807754</v>
      </c>
      <c r="M40">
        <f t="shared" si="6"/>
        <v>47.679394345247402</v>
      </c>
      <c r="N40">
        <f t="shared" si="6"/>
        <v>45.044845047285861</v>
      </c>
    </row>
    <row r="41" spans="2:17">
      <c r="B41">
        <f t="shared" ref="B41:D41" si="43">B20</f>
        <v>15</v>
      </c>
      <c r="C41">
        <f t="shared" si="43"/>
        <v>1</v>
      </c>
      <c r="D41">
        <f t="shared" si="43"/>
        <v>105</v>
      </c>
      <c r="E41">
        <f t="shared" ref="E41:H41" si="44">((E20-$Q$28)*($Q$30-$Q$29))/($Q$27-$Q$28)+$Q$29</f>
        <v>0.92367686283453243</v>
      </c>
      <c r="F41">
        <f t="shared" si="44"/>
        <v>0.92133670500319897</v>
      </c>
      <c r="G41">
        <f t="shared" si="44"/>
        <v>0.91762651074640889</v>
      </c>
      <c r="H41">
        <f t="shared" si="44"/>
        <v>0.91998053846281469</v>
      </c>
      <c r="I41">
        <f t="shared" ref="I41" si="45">((I20-$Q$28)*($Q$30-$Q$29))/($Q$27-$Q$28)+$Q$29</f>
        <v>0.92055536814413663</v>
      </c>
      <c r="J41">
        <f t="shared" si="6"/>
        <v>43.718367440603217</v>
      </c>
      <c r="K41">
        <f t="shared" si="6"/>
        <v>45.39274545864734</v>
      </c>
      <c r="L41">
        <f t="shared" si="6"/>
        <v>45.650154092917091</v>
      </c>
      <c r="M41">
        <f t="shared" si="6"/>
        <v>50.050634148754725</v>
      </c>
      <c r="N41">
        <f t="shared" si="6"/>
        <v>46.760755584284993</v>
      </c>
    </row>
    <row r="42" spans="2:17">
      <c r="B42">
        <f t="shared" ref="B42:D42" si="46">B21</f>
        <v>16</v>
      </c>
      <c r="C42">
        <f t="shared" si="46"/>
        <v>2</v>
      </c>
      <c r="D42">
        <f t="shared" si="46"/>
        <v>105</v>
      </c>
      <c r="E42">
        <f t="shared" ref="E42:H42" si="47">((E21-$Q$28)*($Q$30-$Q$29))/($Q$27-$Q$28)+$Q$29</f>
        <v>1.949053579191488</v>
      </c>
      <c r="F42">
        <f t="shared" si="47"/>
        <v>1.9469623087422818</v>
      </c>
      <c r="G42">
        <f t="shared" si="47"/>
        <v>1.9430317374226793</v>
      </c>
      <c r="H42">
        <f t="shared" si="47"/>
        <v>1.9456839676681355</v>
      </c>
      <c r="I42">
        <f t="shared" ref="I42" si="48">((I21-$Q$28)*($Q$30-$Q$29))/($Q$27-$Q$28)+$Q$29</f>
        <v>1.9457448410526186</v>
      </c>
      <c r="J42">
        <f t="shared" si="6"/>
        <v>43.363934359784977</v>
      </c>
      <c r="K42">
        <f t="shared" si="6"/>
        <v>44.437580969189469</v>
      </c>
      <c r="L42">
        <f t="shared" si="6"/>
        <v>44.399958515164769</v>
      </c>
      <c r="M42">
        <f t="shared" si="6"/>
        <v>51.692229610218376</v>
      </c>
      <c r="N42">
        <f t="shared" si="6"/>
        <v>47.837203612160891</v>
      </c>
    </row>
    <row r="43" spans="2:17">
      <c r="B43">
        <f t="shared" ref="B43:D43" si="49">B22</f>
        <v>17</v>
      </c>
      <c r="C43">
        <f t="shared" si="49"/>
        <v>3</v>
      </c>
      <c r="D43">
        <f t="shared" si="49"/>
        <v>105</v>
      </c>
      <c r="E43">
        <f t="shared" ref="E43:H43" si="50">((E22-$Q$28)*($Q$30-$Q$29))/($Q$27-$Q$28)+$Q$29</f>
        <v>2.9847849353039457</v>
      </c>
      <c r="F43">
        <f t="shared" si="50"/>
        <v>2.9833594193382011</v>
      </c>
      <c r="G43">
        <f t="shared" si="50"/>
        <v>2.9777999070717964</v>
      </c>
      <c r="H43">
        <f t="shared" si="50"/>
        <v>2.9808266242141994</v>
      </c>
      <c r="I43">
        <f t="shared" ref="I43" si="51">((I22-$Q$28)*($Q$30-$Q$29))/($Q$27-$Q$28)+$Q$29</f>
        <v>2.9812696899873363</v>
      </c>
      <c r="J43">
        <f t="shared" si="6"/>
        <v>41.859262696460647</v>
      </c>
      <c r="K43">
        <f t="shared" si="6"/>
        <v>42.566245351209957</v>
      </c>
      <c r="L43">
        <f t="shared" si="6"/>
        <v>42.546063217286061</v>
      </c>
      <c r="M43">
        <f t="shared" si="6"/>
        <v>52.241283788757556</v>
      </c>
      <c r="N43">
        <f t="shared" si="6"/>
        <v>49.315100867456252</v>
      </c>
    </row>
    <row r="44" spans="2:17">
      <c r="B44">
        <f t="shared" ref="B44:D44" si="52">B23</f>
        <v>18</v>
      </c>
      <c r="C44">
        <f t="shared" si="52"/>
        <v>4</v>
      </c>
      <c r="D44">
        <f t="shared" si="52"/>
        <v>105</v>
      </c>
      <c r="E44">
        <f t="shared" ref="E44:H44" si="53">((E23-$Q$28)*($Q$30-$Q$29))/($Q$27-$Q$28)+$Q$29</f>
        <v>3.9247894268453689</v>
      </c>
      <c r="F44">
        <f t="shared" si="53"/>
        <v>3.9205051734564278</v>
      </c>
      <c r="G44">
        <f t="shared" si="53"/>
        <v>3.9156460903861645</v>
      </c>
      <c r="H44">
        <f t="shared" si="53"/>
        <v>3.9171432674247817</v>
      </c>
      <c r="I44">
        <f t="shared" ref="I44" si="54">((I23-$Q$28)*($Q$30-$Q$29))/($Q$27-$Q$28)+$Q$29</f>
        <v>3.9166285405787726</v>
      </c>
      <c r="J44">
        <f>((J23)*($Q$37-$Q$36))/($Q$34-$Q$35)+$Q$36</f>
        <v>39.732688053410527</v>
      </c>
      <c r="K44">
        <f t="shared" si="6"/>
        <v>40.12368262551324</v>
      </c>
      <c r="L44">
        <f t="shared" si="6"/>
        <v>38.893561893317809</v>
      </c>
      <c r="M44">
        <f t="shared" si="6"/>
        <v>52.309185404132933</v>
      </c>
      <c r="N44">
        <f t="shared" si="6"/>
        <v>50.534528525741607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66FD-BCEC-4E2E-B047-BF75B8FB670C}">
  <dimension ref="A3:S365"/>
  <sheetViews>
    <sheetView tabSelected="1" topLeftCell="C1" zoomScale="87" workbookViewId="0">
      <selection activeCell="S11" sqref="S11"/>
    </sheetView>
  </sheetViews>
  <sheetFormatPr defaultRowHeight="14.45"/>
  <cols>
    <col min="2" max="2" width="8.5703125" customWidth="1"/>
    <col min="6" max="6" width="11.7109375" bestFit="1" customWidth="1"/>
    <col min="14" max="14" width="11.7109375" bestFit="1" customWidth="1"/>
    <col min="17" max="17" width="14.7109375" bestFit="1" customWidth="1"/>
  </cols>
  <sheetData>
    <row r="3" spans="1:19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9">
      <c r="A4" s="2">
        <f>C4</f>
        <v>0.48675286769866943</v>
      </c>
      <c r="B4" s="3">
        <f>C4-$A$4</f>
        <v>0</v>
      </c>
      <c r="C4" s="2">
        <f>D4/2^24</f>
        <v>0.48675286769866943</v>
      </c>
      <c r="D4">
        <v>8166358</v>
      </c>
      <c r="E4">
        <f>((D4-$N$8)*($N$10-$N$9))/($N$7-$N$8)+$N$9</f>
        <v>99996.268419800079</v>
      </c>
      <c r="F4">
        <f>$S$7 + ($S$9/$S$10)*((E4/$S$11)^(-$S$8*$S$10/($S$5*$S$6)) - 1)</f>
        <v>73.190840768973928</v>
      </c>
      <c r="G4">
        <f>(F4-$I$4)*100</f>
        <v>73.903844972016941</v>
      </c>
      <c r="H4">
        <f>E4-$J$4</f>
        <v>0</v>
      </c>
      <c r="I4">
        <f>F19</f>
        <v>72.451802319253758</v>
      </c>
      <c r="J4">
        <f>E4</f>
        <v>99996.268419800079</v>
      </c>
    </row>
    <row r="5" spans="1:19">
      <c r="B5" s="3">
        <f t="shared" ref="B5:B68" si="0">C5-$A$4</f>
        <v>7.7486038208007813E-6</v>
      </c>
      <c r="C5" s="2">
        <f t="shared" ref="C5:C68" si="1">D5/2^24</f>
        <v>0.48676061630249023</v>
      </c>
      <c r="D5">
        <v>8166488</v>
      </c>
      <c r="E5">
        <f t="shared" ref="E5:E37" si="2">((D5-$N$8)*($N$10-$N$9))/($N$7-$N$8)+$N$9</f>
        <v>99998.271847653523</v>
      </c>
      <c r="F5">
        <f t="shared" ref="F5:F68" si="3">$S$7 + ($S$9/$S$10)*((E5/$S$11)^(-$S$8*$S$10/($S$5*$S$6)) - 1)</f>
        <v>73.027997114818177</v>
      </c>
      <c r="G5">
        <f t="shared" ref="G5:G68" si="4">(F5-$I$4)*100</f>
        <v>57.619479556441888</v>
      </c>
      <c r="H5">
        <f t="shared" ref="H5:H68" si="5">E5-$J$4</f>
        <v>2.0034278534440091</v>
      </c>
      <c r="R5" t="s">
        <v>33</v>
      </c>
      <c r="S5">
        <v>9.8066499999999994</v>
      </c>
    </row>
    <row r="6" spans="1:19">
      <c r="B6" s="3">
        <f t="shared" si="0"/>
        <v>3.6656856536865234E-5</v>
      </c>
      <c r="C6" s="2">
        <f t="shared" si="1"/>
        <v>0.4867895245552063</v>
      </c>
      <c r="D6">
        <v>8166973</v>
      </c>
      <c r="E6">
        <f t="shared" si="2"/>
        <v>100005.74617464517</v>
      </c>
      <c r="F6">
        <f t="shared" si="3"/>
        <v>72.420488332294354</v>
      </c>
      <c r="G6">
        <f t="shared" si="4"/>
        <v>-3.1313986959403906</v>
      </c>
      <c r="H6">
        <f t="shared" si="5"/>
        <v>9.4777548450947506</v>
      </c>
      <c r="M6" t="s">
        <v>16</v>
      </c>
      <c r="R6" t="s">
        <v>34</v>
      </c>
      <c r="S6">
        <v>2.8964400000000001E-2</v>
      </c>
    </row>
    <row r="7" spans="1:19">
      <c r="A7" s="2"/>
      <c r="B7" s="3">
        <f t="shared" si="0"/>
        <v>5.1975250244140625E-5</v>
      </c>
      <c r="C7" s="2">
        <f t="shared" si="1"/>
        <v>0.48680484294891357</v>
      </c>
      <c r="D7">
        <v>8167230</v>
      </c>
      <c r="E7">
        <f t="shared" si="2"/>
        <v>100009.7067974016</v>
      </c>
      <c r="F7">
        <f t="shared" si="3"/>
        <v>72.098586209905676</v>
      </c>
      <c r="G7">
        <f t="shared" si="4"/>
        <v>-35.321610934808234</v>
      </c>
      <c r="H7">
        <f t="shared" si="5"/>
        <v>13.438377601516549</v>
      </c>
      <c r="M7" t="s">
        <v>17</v>
      </c>
      <c r="N7">
        <f>0.9*2^24</f>
        <v>15099494.4</v>
      </c>
      <c r="R7" t="s">
        <v>35</v>
      </c>
      <c r="S7">
        <v>0</v>
      </c>
    </row>
    <row r="8" spans="1:19">
      <c r="B8" s="3">
        <f t="shared" si="0"/>
        <v>-6.3776969909667969E-6</v>
      </c>
      <c r="C8" s="2">
        <f>D8/2^24</f>
        <v>0.48674649000167847</v>
      </c>
      <c r="D8">
        <v>8166251</v>
      </c>
      <c r="E8">
        <f t="shared" si="2"/>
        <v>99994.619444566866</v>
      </c>
      <c r="F8">
        <f t="shared" si="3"/>
        <v>73.324875604860608</v>
      </c>
      <c r="G8">
        <f t="shared" si="4"/>
        <v>87.307328560684994</v>
      </c>
      <c r="H8">
        <f t="shared" si="5"/>
        <v>-1.6489752332126955</v>
      </c>
      <c r="M8" t="s">
        <v>18</v>
      </c>
      <c r="N8">
        <f>0.1*2^24</f>
        <v>1677721.6000000001</v>
      </c>
      <c r="R8" t="s">
        <v>36</v>
      </c>
      <c r="S8">
        <v>8.3144597999999998</v>
      </c>
    </row>
    <row r="9" spans="1:19">
      <c r="B9" s="2">
        <f t="shared" si="0"/>
        <v>5.3346157073974609E-5</v>
      </c>
      <c r="C9" s="2">
        <f>D9/2^24</f>
        <v>0.48680621385574341</v>
      </c>
      <c r="D9">
        <v>8167253</v>
      </c>
      <c r="E9">
        <f t="shared" si="2"/>
        <v>100010.0612500218</v>
      </c>
      <c r="F9">
        <f t="shared" si="3"/>
        <v>72.069778352002629</v>
      </c>
      <c r="G9">
        <f t="shared" si="4"/>
        <v>-38.202396725112919</v>
      </c>
      <c r="H9">
        <f t="shared" si="5"/>
        <v>13.792830221718759</v>
      </c>
      <c r="M9" t="s">
        <v>19</v>
      </c>
      <c r="N9">
        <v>0</v>
      </c>
      <c r="R9" t="s">
        <v>37</v>
      </c>
      <c r="S9">
        <v>278.14999999999998</v>
      </c>
    </row>
    <row r="10" spans="1:19">
      <c r="B10" s="2">
        <f t="shared" si="0"/>
        <v>1.7225742340087891E-5</v>
      </c>
      <c r="C10" s="2">
        <f t="shared" si="1"/>
        <v>0.48677009344100952</v>
      </c>
      <c r="D10">
        <v>8166647</v>
      </c>
      <c r="E10">
        <f t="shared" si="2"/>
        <v>100000.7221940281</v>
      </c>
      <c r="F10">
        <f t="shared" si="3"/>
        <v>72.828830390778649</v>
      </c>
      <c r="G10">
        <f t="shared" si="4"/>
        <v>37.702807152489015</v>
      </c>
      <c r="H10">
        <f t="shared" si="5"/>
        <v>4.4537742280226666</v>
      </c>
      <c r="M10" t="s">
        <v>20</v>
      </c>
      <c r="N10" s="1">
        <v>206842.71900000001</v>
      </c>
      <c r="R10" t="s">
        <v>38</v>
      </c>
      <c r="S10">
        <v>-6.4999999999999997E-3</v>
      </c>
    </row>
    <row r="11" spans="1:19">
      <c r="B11" s="2">
        <f t="shared" si="0"/>
        <v>3.2246112823486328E-5</v>
      </c>
      <c r="C11" s="2">
        <f t="shared" si="1"/>
        <v>0.48678511381149292</v>
      </c>
      <c r="D11">
        <v>8166899</v>
      </c>
      <c r="E11">
        <f t="shared" si="2"/>
        <v>100004.60576186707</v>
      </c>
      <c r="F11">
        <f t="shared" si="3"/>
        <v>72.513178017051587</v>
      </c>
      <c r="G11">
        <f t="shared" si="4"/>
        <v>6.1375697797828366</v>
      </c>
      <c r="H11">
        <f t="shared" si="5"/>
        <v>8.337342066995916</v>
      </c>
      <c r="Q11" t="s">
        <v>39</v>
      </c>
      <c r="S11">
        <v>100900</v>
      </c>
    </row>
    <row r="12" spans="1:19">
      <c r="B12" s="2">
        <f t="shared" si="0"/>
        <v>1.3470649719238281E-5</v>
      </c>
      <c r="C12" s="2">
        <f t="shared" si="1"/>
        <v>0.48676633834838867</v>
      </c>
      <c r="D12">
        <v>8166584</v>
      </c>
      <c r="E12">
        <f t="shared" si="2"/>
        <v>99999.751302068355</v>
      </c>
      <c r="F12">
        <f t="shared" si="3"/>
        <v>72.907745035164453</v>
      </c>
      <c r="G12">
        <f t="shared" si="4"/>
        <v>45.594271591069457</v>
      </c>
      <c r="H12">
        <f t="shared" si="5"/>
        <v>3.4828822682757163</v>
      </c>
    </row>
    <row r="13" spans="1:19">
      <c r="B13" s="2">
        <f t="shared" si="0"/>
        <v>6.7234039306640625E-5</v>
      </c>
      <c r="C13" s="2">
        <f t="shared" si="1"/>
        <v>0.48682010173797607</v>
      </c>
      <c r="D13">
        <v>8167486</v>
      </c>
      <c r="E13">
        <f t="shared" si="2"/>
        <v>100013.6520091745</v>
      </c>
      <c r="F13">
        <f t="shared" si="3"/>
        <v>71.777946887186715</v>
      </c>
      <c r="G13">
        <f t="shared" si="4"/>
        <v>-67.385543206704313</v>
      </c>
      <c r="H13">
        <f t="shared" si="5"/>
        <v>17.383589374425355</v>
      </c>
    </row>
    <row r="14" spans="1:19">
      <c r="B14" s="2">
        <f t="shared" si="0"/>
        <v>4.0411949157714844E-5</v>
      </c>
      <c r="C14" s="2">
        <f t="shared" si="1"/>
        <v>0.48679327964782715</v>
      </c>
      <c r="D14">
        <v>8167036</v>
      </c>
      <c r="E14">
        <f t="shared" si="2"/>
        <v>100006.71706660492</v>
      </c>
      <c r="F14">
        <f t="shared" si="3"/>
        <v>72.341577518407604</v>
      </c>
      <c r="G14">
        <f t="shared" si="4"/>
        <v>-11.022480084615438</v>
      </c>
      <c r="H14">
        <f t="shared" si="5"/>
        <v>10.448646804841701</v>
      </c>
    </row>
    <row r="15" spans="1:19">
      <c r="B15" s="2">
        <f t="shared" si="0"/>
        <v>3.2484531402587891E-5</v>
      </c>
      <c r="C15" s="2">
        <f t="shared" si="1"/>
        <v>0.48678535223007202</v>
      </c>
      <c r="D15">
        <v>8166903</v>
      </c>
      <c r="E15">
        <f t="shared" si="2"/>
        <v>100004.66740580102</v>
      </c>
      <c r="F15">
        <f t="shared" si="3"/>
        <v>72.508167741940994</v>
      </c>
      <c r="G15">
        <f t="shared" si="4"/>
        <v>5.6365422687235878</v>
      </c>
      <c r="H15">
        <f t="shared" si="5"/>
        <v>8.3989860009460244</v>
      </c>
    </row>
    <row r="16" spans="1:19">
      <c r="B16" s="2">
        <f t="shared" si="0"/>
        <v>6.3419342041015625E-5</v>
      </c>
      <c r="C16" s="2">
        <f t="shared" si="1"/>
        <v>0.48681628704071045</v>
      </c>
      <c r="D16">
        <v>8167422</v>
      </c>
      <c r="E16">
        <f t="shared" si="2"/>
        <v>100012.66570623127</v>
      </c>
      <c r="F16">
        <f t="shared" si="3"/>
        <v>71.858105757696393</v>
      </c>
      <c r="G16">
        <f t="shared" si="4"/>
        <v>-59.36965615573655</v>
      </c>
      <c r="H16">
        <f t="shared" si="5"/>
        <v>16.397286431194516</v>
      </c>
    </row>
    <row r="17" spans="2:8">
      <c r="B17" s="2">
        <f t="shared" si="0"/>
        <v>4.6670436859130859E-5</v>
      </c>
      <c r="C17" s="2">
        <f t="shared" si="1"/>
        <v>0.48679953813552856</v>
      </c>
      <c r="D17">
        <v>8167141</v>
      </c>
      <c r="E17">
        <f t="shared" si="2"/>
        <v>100008.33521987115</v>
      </c>
      <c r="F17">
        <f t="shared" si="3"/>
        <v>72.210060873757413</v>
      </c>
      <c r="G17">
        <f t="shared" si="4"/>
        <v>-24.174144549634491</v>
      </c>
      <c r="H17">
        <f t="shared" si="5"/>
        <v>12.066800071072066</v>
      </c>
    </row>
    <row r="18" spans="2:8">
      <c r="B18" s="2">
        <f t="shared" si="0"/>
        <v>6.0796737670898438E-6</v>
      </c>
      <c r="C18" s="2">
        <f t="shared" si="1"/>
        <v>0.48675894737243652</v>
      </c>
      <c r="D18">
        <v>8166460</v>
      </c>
      <c r="E18">
        <f t="shared" si="2"/>
        <v>99997.840340115843</v>
      </c>
      <c r="F18">
        <f t="shared" si="3"/>
        <v>73.063070909416012</v>
      </c>
      <c r="G18">
        <f t="shared" si="4"/>
        <v>61.12685901622541</v>
      </c>
      <c r="H18">
        <f t="shared" si="5"/>
        <v>1.5719203157641459</v>
      </c>
    </row>
    <row r="19" spans="2:8">
      <c r="B19" s="2">
        <f t="shared" si="0"/>
        <v>3.5166740417480469E-5</v>
      </c>
      <c r="C19" s="2">
        <f t="shared" si="1"/>
        <v>0.48678803443908691</v>
      </c>
      <c r="D19">
        <v>8166948</v>
      </c>
      <c r="E19">
        <f t="shared" si="2"/>
        <v>100005.36090005797</v>
      </c>
      <c r="F19">
        <f t="shared" si="3"/>
        <v>72.451802319253758</v>
      </c>
      <c r="G19">
        <f t="shared" si="4"/>
        <v>0</v>
      </c>
      <c r="H19">
        <f t="shared" si="5"/>
        <v>9.0924802578956587</v>
      </c>
    </row>
    <row r="20" spans="2:8">
      <c r="B20" s="2">
        <f t="shared" si="0"/>
        <v>5.6147575378417969E-5</v>
      </c>
      <c r="C20" s="2">
        <f t="shared" si="1"/>
        <v>0.48680901527404785</v>
      </c>
      <c r="D20">
        <v>8167300</v>
      </c>
      <c r="E20">
        <f t="shared" si="2"/>
        <v>100010.78556624573</v>
      </c>
      <c r="F20">
        <f t="shared" si="3"/>
        <v>72.010910377725139</v>
      </c>
      <c r="G20">
        <f t="shared" si="4"/>
        <v>-44.089194152861921</v>
      </c>
      <c r="H20">
        <f t="shared" si="5"/>
        <v>14.517146445650724</v>
      </c>
    </row>
    <row r="21" spans="2:8">
      <c r="B21" s="2">
        <f t="shared" si="0"/>
        <v>4.4882297515869141E-5</v>
      </c>
      <c r="C21" s="2">
        <f t="shared" si="1"/>
        <v>0.4867977499961853</v>
      </c>
      <c r="D21">
        <v>8167111</v>
      </c>
      <c r="E21">
        <f t="shared" si="2"/>
        <v>100007.87289036652</v>
      </c>
      <c r="F21">
        <f t="shared" si="3"/>
        <v>72.247636882118456</v>
      </c>
      <c r="G21">
        <f t="shared" si="4"/>
        <v>-20.416543713530189</v>
      </c>
      <c r="H21">
        <f t="shared" si="5"/>
        <v>11.604470566438977</v>
      </c>
    </row>
    <row r="22" spans="2:8">
      <c r="B22" s="2">
        <f t="shared" si="0"/>
        <v>2.1636486053466797E-5</v>
      </c>
      <c r="C22" s="2">
        <f t="shared" si="1"/>
        <v>0.4867745041847229</v>
      </c>
      <c r="D22">
        <v>8166721</v>
      </c>
      <c r="E22">
        <f t="shared" si="2"/>
        <v>100001.8626068062</v>
      </c>
      <c r="F22">
        <f t="shared" si="3"/>
        <v>72.736137791296429</v>
      </c>
      <c r="G22">
        <f t="shared" si="4"/>
        <v>28.433547204267029</v>
      </c>
      <c r="H22">
        <f t="shared" si="5"/>
        <v>5.5941870061215013</v>
      </c>
    </row>
    <row r="23" spans="2:8">
      <c r="B23" s="2">
        <f t="shared" si="0"/>
        <v>4.4345855712890625E-5</v>
      </c>
      <c r="C23" s="2">
        <f t="shared" si="1"/>
        <v>0.48679721355438232</v>
      </c>
      <c r="D23">
        <v>8167102</v>
      </c>
      <c r="E23">
        <f t="shared" si="2"/>
        <v>100007.73419151513</v>
      </c>
      <c r="F23">
        <f t="shared" si="3"/>
        <v>72.258909712052301</v>
      </c>
      <c r="G23">
        <f t="shared" si="4"/>
        <v>-19.289260720145762</v>
      </c>
      <c r="H23">
        <f t="shared" si="5"/>
        <v>11.465771715054871</v>
      </c>
    </row>
    <row r="24" spans="2:8">
      <c r="B24" s="2">
        <f t="shared" si="0"/>
        <v>6.4492225646972656E-5</v>
      </c>
      <c r="C24" s="2">
        <f t="shared" si="1"/>
        <v>0.48681735992431641</v>
      </c>
      <c r="D24">
        <v>8167440</v>
      </c>
      <c r="E24">
        <f t="shared" si="2"/>
        <v>100012.94310393406</v>
      </c>
      <c r="F24">
        <f t="shared" si="3"/>
        <v>71.835561010666751</v>
      </c>
      <c r="G24">
        <f t="shared" si="4"/>
        <v>-61.62413085870071</v>
      </c>
      <c r="H24">
        <f t="shared" si="5"/>
        <v>16.67468413397728</v>
      </c>
    </row>
    <row r="25" spans="2:8">
      <c r="B25" s="2">
        <f t="shared" si="0"/>
        <v>5.2213668823242188E-5</v>
      </c>
      <c r="C25" s="2">
        <f t="shared" si="1"/>
        <v>0.48680508136749268</v>
      </c>
      <c r="D25">
        <v>8167234</v>
      </c>
      <c r="E25">
        <f t="shared" si="2"/>
        <v>100009.76844133555</v>
      </c>
      <c r="F25">
        <f t="shared" si="3"/>
        <v>72.093576141725308</v>
      </c>
      <c r="G25">
        <f t="shared" si="4"/>
        <v>-35.822617752845076</v>
      </c>
      <c r="H25">
        <f t="shared" si="5"/>
        <v>13.500021535466658</v>
      </c>
    </row>
    <row r="26" spans="2:8">
      <c r="B26" s="2">
        <f t="shared" si="0"/>
        <v>3.8206577301025391E-5</v>
      </c>
      <c r="C26" s="2">
        <f t="shared" si="1"/>
        <v>0.48679107427597046</v>
      </c>
      <c r="D26">
        <v>8166999</v>
      </c>
      <c r="E26">
        <f t="shared" si="2"/>
        <v>100006.14686021586</v>
      </c>
      <c r="F26">
        <f t="shared" si="3"/>
        <v>72.387921889482641</v>
      </c>
      <c r="G26">
        <f t="shared" si="4"/>
        <v>-6.388042977111752</v>
      </c>
      <c r="H26">
        <f t="shared" si="5"/>
        <v>9.8784404157777317</v>
      </c>
    </row>
    <row r="27" spans="2:8">
      <c r="B27" s="2">
        <f t="shared" si="0"/>
        <v>2.0802021026611328E-5</v>
      </c>
      <c r="C27" s="2">
        <f t="shared" si="1"/>
        <v>0.48677366971969604</v>
      </c>
      <c r="D27">
        <v>8166707</v>
      </c>
      <c r="E27">
        <f t="shared" si="2"/>
        <v>100001.64685303738</v>
      </c>
      <c r="F27">
        <f t="shared" si="3"/>
        <v>72.753674163385668</v>
      </c>
      <c r="G27">
        <f t="shared" si="4"/>
        <v>30.187184413190948</v>
      </c>
      <c r="H27">
        <f t="shared" si="5"/>
        <v>5.3784332373033976</v>
      </c>
    </row>
    <row r="28" spans="2:8">
      <c r="B28" s="2">
        <f t="shared" si="0"/>
        <v>3.4451484680175781E-5</v>
      </c>
      <c r="C28" s="2">
        <f t="shared" si="1"/>
        <v>0.48678731918334961</v>
      </c>
      <c r="D28">
        <v>8166936</v>
      </c>
      <c r="E28">
        <f t="shared" si="2"/>
        <v>100005.17596825612</v>
      </c>
      <c r="F28">
        <f t="shared" si="3"/>
        <v>72.466833067687432</v>
      </c>
      <c r="G28">
        <f t="shared" si="4"/>
        <v>1.503074843367358</v>
      </c>
      <c r="H28">
        <f t="shared" si="5"/>
        <v>8.9075484560453333</v>
      </c>
    </row>
    <row r="29" spans="2:8">
      <c r="B29" s="2">
        <f t="shared" si="0"/>
        <v>3.7252902984619141E-5</v>
      </c>
      <c r="C29" s="2">
        <f t="shared" si="1"/>
        <v>0.48679012060165405</v>
      </c>
      <c r="D29">
        <v>8166983</v>
      </c>
      <c r="E29">
        <f t="shared" si="2"/>
        <v>100005.90028448006</v>
      </c>
      <c r="F29">
        <f t="shared" si="3"/>
        <v>72.407962764860571</v>
      </c>
      <c r="G29">
        <f t="shared" si="4"/>
        <v>-4.3839554393187541</v>
      </c>
      <c r="H29">
        <f t="shared" si="5"/>
        <v>9.6318646799772978</v>
      </c>
    </row>
    <row r="30" spans="2:8">
      <c r="B30" s="2">
        <f t="shared" si="0"/>
        <v>4.1425228118896484E-5</v>
      </c>
      <c r="C30" s="2">
        <f t="shared" si="1"/>
        <v>0.48679429292678833</v>
      </c>
      <c r="D30">
        <v>8167053</v>
      </c>
      <c r="E30">
        <f t="shared" si="2"/>
        <v>100006.9790533242</v>
      </c>
      <c r="F30">
        <f t="shared" si="3"/>
        <v>72.320284230462818</v>
      </c>
      <c r="G30">
        <f t="shared" si="4"/>
        <v>-13.151808879094062</v>
      </c>
      <c r="H30">
        <f t="shared" si="5"/>
        <v>10.710633524126024</v>
      </c>
    </row>
    <row r="31" spans="2:8">
      <c r="B31" s="2">
        <f t="shared" si="0"/>
        <v>3.0159950256347656E-5</v>
      </c>
      <c r="C31" s="2">
        <f t="shared" si="1"/>
        <v>0.48678302764892578</v>
      </c>
      <c r="D31">
        <v>8166864</v>
      </c>
      <c r="E31">
        <f t="shared" si="2"/>
        <v>100004.06637744499</v>
      </c>
      <c r="F31">
        <f t="shared" si="3"/>
        <v>72.557018030956613</v>
      </c>
      <c r="G31">
        <f t="shared" si="4"/>
        <v>10.521571170285426</v>
      </c>
      <c r="H31">
        <f t="shared" si="5"/>
        <v>7.7979576449142769</v>
      </c>
    </row>
    <row r="32" spans="2:8">
      <c r="B32" s="2">
        <f t="shared" si="0"/>
        <v>6.4969062805175781E-6</v>
      </c>
      <c r="C32" s="2">
        <f t="shared" si="1"/>
        <v>0.48675936460494995</v>
      </c>
      <c r="D32">
        <v>8166467</v>
      </c>
      <c r="E32">
        <f t="shared" si="2"/>
        <v>99997.948217000259</v>
      </c>
      <c r="F32">
        <f t="shared" si="3"/>
        <v>73.054302449275312</v>
      </c>
      <c r="G32">
        <f t="shared" si="4"/>
        <v>60.250013002155356</v>
      </c>
      <c r="H32">
        <f t="shared" si="5"/>
        <v>1.6797972001804737</v>
      </c>
    </row>
    <row r="33" spans="2:8">
      <c r="B33" s="2">
        <f t="shared" si="0"/>
        <v>5.6803226470947266E-5</v>
      </c>
      <c r="C33" s="2">
        <f t="shared" si="1"/>
        <v>0.48680967092514038</v>
      </c>
      <c r="D33">
        <v>8167311</v>
      </c>
      <c r="E33">
        <f t="shared" si="2"/>
        <v>100010.95508706411</v>
      </c>
      <c r="F33">
        <f t="shared" si="3"/>
        <v>71.997132816573398</v>
      </c>
      <c r="G33">
        <f t="shared" si="4"/>
        <v>-45.466950268036044</v>
      </c>
      <c r="H33">
        <f t="shared" si="5"/>
        <v>14.686667264031712</v>
      </c>
    </row>
    <row r="34" spans="2:8">
      <c r="B34" s="2">
        <f t="shared" si="0"/>
        <v>4.6133995056152344E-5</v>
      </c>
      <c r="C34" s="2">
        <f t="shared" si="1"/>
        <v>0.48679900169372559</v>
      </c>
      <c r="D34">
        <v>8167132</v>
      </c>
      <c r="E34">
        <f t="shared" si="2"/>
        <v>100008.19652101975</v>
      </c>
      <c r="F34">
        <f t="shared" si="3"/>
        <v>72.221333661498505</v>
      </c>
      <c r="G34">
        <f t="shared" si="4"/>
        <v>-23.046865775525305</v>
      </c>
      <c r="H34">
        <f t="shared" si="5"/>
        <v>11.928101219673408</v>
      </c>
    </row>
    <row r="35" spans="2:8">
      <c r="B35" s="2">
        <f t="shared" si="0"/>
        <v>3.4987926483154297E-5</v>
      </c>
      <c r="C35" s="2">
        <f t="shared" si="1"/>
        <v>0.48678785562515259</v>
      </c>
      <c r="D35">
        <v>8166945</v>
      </c>
      <c r="E35">
        <f t="shared" si="2"/>
        <v>100005.31466710752</v>
      </c>
      <c r="F35">
        <f t="shared" si="3"/>
        <v>72.455560004251595</v>
      </c>
      <c r="G35">
        <f t="shared" si="4"/>
        <v>0.37576849978364635</v>
      </c>
      <c r="H35">
        <f t="shared" si="5"/>
        <v>9.0462473074439913</v>
      </c>
    </row>
    <row r="36" spans="2:8">
      <c r="B36" s="2">
        <f t="shared" si="0"/>
        <v>2.6106834411621094E-5</v>
      </c>
      <c r="C36" s="2">
        <f t="shared" si="1"/>
        <v>0.48677897453308105</v>
      </c>
      <c r="D36">
        <v>8166796</v>
      </c>
      <c r="E36">
        <f t="shared" si="2"/>
        <v>100003.0184305678</v>
      </c>
      <c r="F36">
        <f t="shared" si="3"/>
        <v>72.642193462479113</v>
      </c>
      <c r="G36">
        <f t="shared" si="4"/>
        <v>19.039114322535511</v>
      </c>
      <c r="H36">
        <f t="shared" si="5"/>
        <v>6.7500107677187771</v>
      </c>
    </row>
    <row r="37" spans="2:8">
      <c r="B37" s="2">
        <f t="shared" si="0"/>
        <v>7.62939453125E-6</v>
      </c>
      <c r="C37" s="2">
        <f t="shared" si="1"/>
        <v>0.48676049709320068</v>
      </c>
      <c r="D37">
        <v>8166486</v>
      </c>
      <c r="E37">
        <f t="shared" si="2"/>
        <v>99998.241025686541</v>
      </c>
      <c r="F37">
        <f t="shared" si="3"/>
        <v>73.030502381795117</v>
      </c>
      <c r="G37">
        <f t="shared" si="4"/>
        <v>57.870006254135831</v>
      </c>
      <c r="H37">
        <f t="shared" si="5"/>
        <v>1.9726058864616789</v>
      </c>
    </row>
    <row r="38" spans="2:8">
      <c r="B38" s="2">
        <f t="shared" si="0"/>
        <v>1.7762184143066406E-5</v>
      </c>
      <c r="C38" s="2">
        <f t="shared" si="1"/>
        <v>0.4867706298828125</v>
      </c>
      <c r="D38">
        <v>8166656</v>
      </c>
      <c r="E38">
        <f>((D38-$N$8)*($N$10-$N$9))/($N$7-$N$8)+$N$9</f>
        <v>100000.8608928795</v>
      </c>
      <c r="F38">
        <f t="shared" si="3"/>
        <v>72.817556920798737</v>
      </c>
      <c r="G38">
        <f t="shared" si="4"/>
        <v>36.575460154497819</v>
      </c>
      <c r="H38">
        <f t="shared" si="5"/>
        <v>4.5924730794213247</v>
      </c>
    </row>
    <row r="39" spans="2:8">
      <c r="B39" s="2">
        <f t="shared" si="0"/>
        <v>5.2094459533691406E-5</v>
      </c>
      <c r="C39" s="2">
        <f t="shared" si="1"/>
        <v>0.48680496215820313</v>
      </c>
      <c r="D39">
        <v>8167232</v>
      </c>
      <c r="E39">
        <f>((D39-$N$8)*($N$10-$N$9))/($N$7-$N$8)+$N$9</f>
        <v>100009.73761936856</v>
      </c>
      <c r="F39">
        <f t="shared" si="3"/>
        <v>72.09608117550431</v>
      </c>
      <c r="G39">
        <f t="shared" si="4"/>
        <v>-35.572114374944874</v>
      </c>
      <c r="H39">
        <f t="shared" si="5"/>
        <v>13.469199568484328</v>
      </c>
    </row>
    <row r="40" spans="2:8">
      <c r="B40" s="2">
        <f t="shared" si="0"/>
        <v>8.58306884765625E-6</v>
      </c>
      <c r="C40" s="2">
        <f t="shared" si="1"/>
        <v>0.48676145076751709</v>
      </c>
      <c r="D40">
        <v>8166502</v>
      </c>
      <c r="E40">
        <f t="shared" ref="E40" si="6">((D40-$N$8)*($N$10-$N$9))/($N$7-$N$8)+$N$9</f>
        <v>99998.487601422341</v>
      </c>
      <c r="F40">
        <f t="shared" si="3"/>
        <v>73.010460263477086</v>
      </c>
      <c r="G40">
        <f t="shared" si="4"/>
        <v>55.865794422332726</v>
      </c>
      <c r="H40">
        <f t="shared" si="5"/>
        <v>2.2191816222621128</v>
      </c>
    </row>
    <row r="41" spans="2:8">
      <c r="B41" s="2">
        <f t="shared" si="0"/>
        <v>8.1658363342285156E-6</v>
      </c>
      <c r="C41" s="2">
        <f t="shared" si="1"/>
        <v>0.48676103353500366</v>
      </c>
      <c r="D41">
        <v>8166495</v>
      </c>
      <c r="E41">
        <f>((D41-$N$8)*($N$10-$N$9))/($N$7-$N$8)+$N$9</f>
        <v>99998.379724537925</v>
      </c>
      <c r="F41">
        <f t="shared" si="3"/>
        <v>73.019228685316037</v>
      </c>
      <c r="G41">
        <f t="shared" si="4"/>
        <v>56.742636606227848</v>
      </c>
      <c r="H41">
        <f t="shared" si="5"/>
        <v>2.111304737845785</v>
      </c>
    </row>
    <row r="42" spans="2:8">
      <c r="B42" s="2">
        <f t="shared" si="0"/>
        <v>2.193450927734375E-5</v>
      </c>
      <c r="C42" s="2">
        <f t="shared" si="1"/>
        <v>0.48677480220794678</v>
      </c>
      <c r="D42">
        <v>8166726</v>
      </c>
      <c r="E42">
        <f>((D42-$N$8)*($N$10-$N$9))/($N$7-$N$8)+$N$9</f>
        <v>100001.93966172366</v>
      </c>
      <c r="F42">
        <f t="shared" si="3"/>
        <v>72.729874808687839</v>
      </c>
      <c r="G42">
        <f t="shared" si="4"/>
        <v>27.807248943408069</v>
      </c>
      <c r="H42">
        <f t="shared" si="5"/>
        <v>5.6712419235846028</v>
      </c>
    </row>
    <row r="43" spans="2:8">
      <c r="B43" s="2">
        <f t="shared" si="0"/>
        <v>5.3346157073974609E-5</v>
      </c>
      <c r="C43" s="2">
        <f t="shared" si="1"/>
        <v>0.48680621385574341</v>
      </c>
      <c r="D43">
        <v>8167253</v>
      </c>
      <c r="E43">
        <f>((D43-$N$8)*($N$10-$N$9))/($N$7-$N$8)+$N$9</f>
        <v>100010.0612500218</v>
      </c>
      <c r="F43">
        <f t="shared" si="3"/>
        <v>72.069778352002629</v>
      </c>
      <c r="G43">
        <f t="shared" si="4"/>
        <v>-38.202396725112919</v>
      </c>
      <c r="H43">
        <f t="shared" si="5"/>
        <v>13.792830221718759</v>
      </c>
    </row>
    <row r="44" spans="2:8">
      <c r="B44" s="2">
        <f t="shared" si="0"/>
        <v>1.8477439880371094E-5</v>
      </c>
      <c r="C44" s="2">
        <f t="shared" si="1"/>
        <v>0.4867713451385498</v>
      </c>
      <c r="D44">
        <v>8166668</v>
      </c>
      <c r="E44">
        <f t="shared" ref="E44:E95" si="7">((D44-$N$8)*($N$10-$N$9))/($N$7-$N$8)+$N$9</f>
        <v>100001.04582468135</v>
      </c>
      <c r="F44">
        <f t="shared" si="3"/>
        <v>72.802525647181511</v>
      </c>
      <c r="G44">
        <f t="shared" si="4"/>
        <v>35.072332792775285</v>
      </c>
      <c r="H44">
        <f t="shared" si="5"/>
        <v>4.7774048812716501</v>
      </c>
    </row>
    <row r="45" spans="2:8">
      <c r="B45" s="2">
        <f t="shared" si="0"/>
        <v>-2.9206275939941406E-6</v>
      </c>
      <c r="C45" s="2">
        <f t="shared" si="1"/>
        <v>0.48674994707107544</v>
      </c>
      <c r="D45">
        <v>8166309</v>
      </c>
      <c r="E45">
        <f t="shared" si="7"/>
        <v>99995.513281609179</v>
      </c>
      <c r="F45">
        <f t="shared" si="3"/>
        <v>73.252220985700063</v>
      </c>
      <c r="G45">
        <f t="shared" si="4"/>
        <v>80.041866644630488</v>
      </c>
      <c r="H45">
        <f t="shared" si="5"/>
        <v>-0.75513819089974277</v>
      </c>
    </row>
    <row r="46" spans="2:8">
      <c r="B46" s="2">
        <f t="shared" si="0"/>
        <v>2.3603439331054688E-5</v>
      </c>
      <c r="C46" s="2">
        <f t="shared" si="1"/>
        <v>0.48677647113800049</v>
      </c>
      <c r="D46">
        <v>8166754</v>
      </c>
      <c r="E46">
        <f t="shared" si="7"/>
        <v>100002.37116926131</v>
      </c>
      <c r="F46">
        <f t="shared" si="3"/>
        <v>72.694802178298175</v>
      </c>
      <c r="G46">
        <f t="shared" si="4"/>
        <v>24.299985904441712</v>
      </c>
      <c r="H46">
        <f t="shared" si="5"/>
        <v>6.1027494612353621</v>
      </c>
    </row>
    <row r="47" spans="2:8">
      <c r="B47" s="2">
        <f t="shared" si="0"/>
        <v>-2.5033950805664063E-6</v>
      </c>
      <c r="C47" s="2">
        <f t="shared" si="1"/>
        <v>0.48675036430358887</v>
      </c>
      <c r="D47">
        <v>8166316</v>
      </c>
      <c r="E47">
        <f t="shared" si="7"/>
        <v>99995.621158493595</v>
      </c>
      <c r="F47">
        <f t="shared" si="3"/>
        <v>73.243452360332554</v>
      </c>
      <c r="G47">
        <f t="shared" si="4"/>
        <v>79.165004107879611</v>
      </c>
      <c r="H47">
        <f t="shared" si="5"/>
        <v>-0.64726130648341496</v>
      </c>
    </row>
    <row r="48" spans="2:8">
      <c r="B48" s="2">
        <f t="shared" si="0"/>
        <v>9.5963478088378906E-6</v>
      </c>
      <c r="C48" s="2">
        <f t="shared" si="1"/>
        <v>0.48676246404647827</v>
      </c>
      <c r="D48">
        <v>8166519</v>
      </c>
      <c r="E48">
        <f t="shared" si="7"/>
        <v>99998.749588141654</v>
      </c>
      <c r="F48">
        <f t="shared" si="3"/>
        <v>72.989165556604604</v>
      </c>
      <c r="G48">
        <f t="shared" si="4"/>
        <v>53.736323735084568</v>
      </c>
      <c r="H48">
        <f t="shared" si="5"/>
        <v>2.4811683415755397</v>
      </c>
    </row>
    <row r="49" spans="2:8">
      <c r="B49" s="2">
        <f t="shared" si="0"/>
        <v>1.3589859008789063E-5</v>
      </c>
      <c r="C49" s="2">
        <f t="shared" si="1"/>
        <v>0.48676645755767822</v>
      </c>
      <c r="D49">
        <v>8166586</v>
      </c>
      <c r="E49">
        <f t="shared" si="7"/>
        <v>99999.782124035337</v>
      </c>
      <c r="F49">
        <f t="shared" si="3"/>
        <v>72.905239798821313</v>
      </c>
      <c r="G49">
        <f t="shared" si="4"/>
        <v>45.343747956755465</v>
      </c>
      <c r="H49">
        <f t="shared" si="5"/>
        <v>3.5137042352580465</v>
      </c>
    </row>
    <row r="50" spans="2:8">
      <c r="B50" s="2">
        <f t="shared" si="0"/>
        <v>1.0132789611816406E-5</v>
      </c>
      <c r="C50" s="2">
        <f t="shared" si="1"/>
        <v>0.48676300048828125</v>
      </c>
      <c r="D50">
        <v>8166528</v>
      </c>
      <c r="E50">
        <f t="shared" si="7"/>
        <v>99998.888286993038</v>
      </c>
      <c r="F50">
        <f t="shared" si="3"/>
        <v>72.977891906556067</v>
      </c>
      <c r="G50">
        <f t="shared" si="4"/>
        <v>52.608958730230881</v>
      </c>
      <c r="H50">
        <f t="shared" si="5"/>
        <v>2.6198671929596458</v>
      </c>
    </row>
    <row r="51" spans="2:8">
      <c r="B51" s="2">
        <f t="shared" si="0"/>
        <v>4.5716762542724609E-5</v>
      </c>
      <c r="C51" s="2">
        <f t="shared" si="1"/>
        <v>0.48679858446121216</v>
      </c>
      <c r="D51">
        <v>8167125</v>
      </c>
      <c r="E51">
        <f t="shared" si="7"/>
        <v>100008.08864413535</v>
      </c>
      <c r="F51">
        <f t="shared" si="3"/>
        <v>72.23010139404353</v>
      </c>
      <c r="G51">
        <f t="shared" si="4"/>
        <v>-22.170092521022866</v>
      </c>
      <c r="H51">
        <f t="shared" si="5"/>
        <v>11.820224335271632</v>
      </c>
    </row>
    <row r="52" spans="2:8">
      <c r="B52" s="2">
        <f t="shared" si="0"/>
        <v>1.1682510375976563E-5</v>
      </c>
      <c r="C52" s="2">
        <f t="shared" si="1"/>
        <v>0.48676455020904541</v>
      </c>
      <c r="D52">
        <v>8166554</v>
      </c>
      <c r="E52">
        <f t="shared" si="7"/>
        <v>99999.288972563707</v>
      </c>
      <c r="F52">
        <f t="shared" si="3"/>
        <v>72.945323655304563</v>
      </c>
      <c r="G52">
        <f t="shared" si="4"/>
        <v>49.352133605080439</v>
      </c>
      <c r="H52">
        <f t="shared" si="5"/>
        <v>3.0205527636280749</v>
      </c>
    </row>
    <row r="53" spans="2:8">
      <c r="B53" s="2">
        <f t="shared" si="0"/>
        <v>1.8060207366943359E-5</v>
      </c>
      <c r="C53" s="2">
        <f t="shared" si="1"/>
        <v>0.48677092790603638</v>
      </c>
      <c r="D53">
        <v>8166661</v>
      </c>
      <c r="E53">
        <f t="shared" si="7"/>
        <v>100000.93794779693</v>
      </c>
      <c r="F53">
        <f t="shared" si="3"/>
        <v>72.811293887388771</v>
      </c>
      <c r="G53">
        <f t="shared" si="4"/>
        <v>35.949156813501304</v>
      </c>
      <c r="H53">
        <f t="shared" si="5"/>
        <v>4.6695279968553223</v>
      </c>
    </row>
    <row r="54" spans="2:8">
      <c r="B54" s="2">
        <f t="shared" si="0"/>
        <v>1.4185905456542969E-5</v>
      </c>
      <c r="C54" s="2">
        <f t="shared" si="1"/>
        <v>0.48676705360412598</v>
      </c>
      <c r="D54">
        <v>8166596</v>
      </c>
      <c r="E54">
        <f t="shared" si="7"/>
        <v>99999.936233870205</v>
      </c>
      <c r="F54">
        <f t="shared" si="3"/>
        <v>72.892713626498121</v>
      </c>
      <c r="G54">
        <f t="shared" si="4"/>
        <v>44.091130724436312</v>
      </c>
      <c r="H54">
        <f t="shared" si="5"/>
        <v>3.6678140701260418</v>
      </c>
    </row>
    <row r="55" spans="2:8">
      <c r="B55" s="2">
        <f t="shared" si="0"/>
        <v>1.1324882507324219E-6</v>
      </c>
      <c r="C55" s="2">
        <f t="shared" si="1"/>
        <v>0.48675400018692017</v>
      </c>
      <c r="D55">
        <v>8166377</v>
      </c>
      <c r="E55">
        <f t="shared" si="7"/>
        <v>99996.561228486345</v>
      </c>
      <c r="F55">
        <f t="shared" si="3"/>
        <v>73.167040377757885</v>
      </c>
      <c r="G55">
        <f t="shared" si="4"/>
        <v>71.523805850412714</v>
      </c>
      <c r="H55">
        <f t="shared" si="5"/>
        <v>0.29280868626665324</v>
      </c>
    </row>
    <row r="56" spans="2:8">
      <c r="B56" s="2">
        <f t="shared" si="0"/>
        <v>1.9967555999755859E-5</v>
      </c>
      <c r="C56" s="2">
        <f t="shared" si="1"/>
        <v>0.48677283525466919</v>
      </c>
      <c r="D56">
        <v>8166693</v>
      </c>
      <c r="E56">
        <f t="shared" si="7"/>
        <v>100001.43109926855</v>
      </c>
      <c r="F56">
        <f t="shared" si="3"/>
        <v>72.771210566113467</v>
      </c>
      <c r="G56">
        <f t="shared" si="4"/>
        <v>31.940824685970881</v>
      </c>
      <c r="H56">
        <f t="shared" si="5"/>
        <v>5.162679468470742</v>
      </c>
    </row>
    <row r="57" spans="2:8">
      <c r="B57" s="2">
        <f t="shared" si="0"/>
        <v>2.8491020202636719E-5</v>
      </c>
      <c r="C57" s="2">
        <f t="shared" si="1"/>
        <v>0.48678135871887207</v>
      </c>
      <c r="D57">
        <v>8166836</v>
      </c>
      <c r="E57">
        <f t="shared" si="7"/>
        <v>100003.63486990733</v>
      </c>
      <c r="F57">
        <f t="shared" si="3"/>
        <v>72.592090179937529</v>
      </c>
      <c r="G57">
        <f t="shared" si="4"/>
        <v>14.02878606837703</v>
      </c>
      <c r="H57">
        <f t="shared" si="5"/>
        <v>7.3664501072489657</v>
      </c>
    </row>
    <row r="58" spans="2:8">
      <c r="B58" s="2">
        <f t="shared" si="0"/>
        <v>2.8908252716064453E-5</v>
      </c>
      <c r="C58" s="2">
        <f t="shared" si="1"/>
        <v>0.4867817759513855</v>
      </c>
      <c r="D58">
        <v>8166843</v>
      </c>
      <c r="E58">
        <f t="shared" si="7"/>
        <v>100003.74274679173</v>
      </c>
      <c r="F58">
        <f t="shared" si="3"/>
        <v>72.583322131205804</v>
      </c>
      <c r="G58">
        <f t="shared" si="4"/>
        <v>13.151981195204598</v>
      </c>
      <c r="H58">
        <f t="shared" si="5"/>
        <v>7.4743269916507415</v>
      </c>
    </row>
    <row r="59" spans="2:8">
      <c r="B59" s="2">
        <f t="shared" si="0"/>
        <v>3.7491321563720703E-5</v>
      </c>
      <c r="C59" s="2">
        <f t="shared" si="1"/>
        <v>0.48679035902023315</v>
      </c>
      <c r="D59">
        <v>8166987</v>
      </c>
      <c r="E59">
        <f t="shared" si="7"/>
        <v>100005.96192841401</v>
      </c>
      <c r="F59">
        <f t="shared" si="3"/>
        <v>72.402952542266434</v>
      </c>
      <c r="G59">
        <f t="shared" si="4"/>
        <v>-4.8849776987324844</v>
      </c>
      <c r="H59">
        <f t="shared" si="5"/>
        <v>9.6935086139274063</v>
      </c>
    </row>
    <row r="60" spans="2:8">
      <c r="B60" s="2">
        <f t="shared" si="0"/>
        <v>1.7344951629638672E-5</v>
      </c>
      <c r="C60" s="2">
        <f t="shared" si="1"/>
        <v>0.48677021265029907</v>
      </c>
      <c r="D60">
        <v>8166649</v>
      </c>
      <c r="E60">
        <f t="shared" si="7"/>
        <v>100000.75301599508</v>
      </c>
      <c r="F60">
        <f t="shared" si="3"/>
        <v>72.826325174132734</v>
      </c>
      <c r="G60">
        <f t="shared" si="4"/>
        <v>37.452285487897541</v>
      </c>
      <c r="H60">
        <f t="shared" si="5"/>
        <v>4.4845961950049968</v>
      </c>
    </row>
    <row r="61" spans="2:8">
      <c r="B61" s="2">
        <f t="shared" si="0"/>
        <v>3.5166740417480469E-5</v>
      </c>
      <c r="C61" s="2">
        <f t="shared" si="1"/>
        <v>0.48678803443908691</v>
      </c>
      <c r="D61">
        <v>8166948</v>
      </c>
      <c r="E61">
        <f t="shared" si="7"/>
        <v>100005.36090005797</v>
      </c>
      <c r="F61">
        <f t="shared" si="3"/>
        <v>72.451802319253758</v>
      </c>
      <c r="G61">
        <f t="shared" si="4"/>
        <v>0</v>
      </c>
      <c r="H61">
        <f t="shared" si="5"/>
        <v>9.0924802578956587</v>
      </c>
    </row>
    <row r="62" spans="2:8">
      <c r="B62" s="2">
        <f t="shared" si="0"/>
        <v>-5.0067901611328125E-6</v>
      </c>
      <c r="C62" s="2">
        <f t="shared" si="1"/>
        <v>0.4867478609085083</v>
      </c>
      <c r="D62">
        <v>8166274</v>
      </c>
      <c r="E62">
        <f t="shared" si="7"/>
        <v>99994.973897187097</v>
      </c>
      <c r="F62">
        <f t="shared" si="3"/>
        <v>73.296064227447687</v>
      </c>
      <c r="G62">
        <f t="shared" si="4"/>
        <v>84.426190819392843</v>
      </c>
      <c r="H62">
        <f t="shared" si="5"/>
        <v>-1.2945226129813818</v>
      </c>
    </row>
    <row r="63" spans="2:8">
      <c r="B63" s="2">
        <f t="shared" si="0"/>
        <v>-1.2516975402832031E-5</v>
      </c>
      <c r="C63" s="2">
        <f t="shared" si="1"/>
        <v>0.4867403507232666</v>
      </c>
      <c r="D63">
        <v>8166148</v>
      </c>
      <c r="E63">
        <f t="shared" si="7"/>
        <v>99993.032113267618</v>
      </c>
      <c r="F63">
        <f t="shared" si="3"/>
        <v>73.453901483346471</v>
      </c>
      <c r="G63">
        <f t="shared" si="4"/>
        <v>100.20991640927122</v>
      </c>
      <c r="H63">
        <f t="shared" si="5"/>
        <v>-3.2363065324607305</v>
      </c>
    </row>
    <row r="64" spans="2:8">
      <c r="B64" s="2">
        <f t="shared" si="0"/>
        <v>1.6510486602783203E-5</v>
      </c>
      <c r="C64" s="2">
        <f t="shared" si="1"/>
        <v>0.48676937818527222</v>
      </c>
      <c r="D64">
        <v>8166635</v>
      </c>
      <c r="E64">
        <f t="shared" si="7"/>
        <v>100000.53726222624</v>
      </c>
      <c r="F64">
        <f t="shared" si="3"/>
        <v>72.843861703785592</v>
      </c>
      <c r="G64">
        <f t="shared" si="4"/>
        <v>39.205938453183364</v>
      </c>
      <c r="H64">
        <f t="shared" si="5"/>
        <v>4.2688424261577893</v>
      </c>
    </row>
    <row r="65" spans="2:8">
      <c r="B65" s="2">
        <f t="shared" si="0"/>
        <v>-2.002716064453125E-5</v>
      </c>
      <c r="C65" s="2">
        <f t="shared" si="1"/>
        <v>0.4867328405380249</v>
      </c>
      <c r="D65">
        <v>8166022</v>
      </c>
      <c r="E65">
        <f t="shared" si="7"/>
        <v>99991.090329348124</v>
      </c>
      <c r="F65">
        <f t="shared" si="3"/>
        <v>73.611741221158439</v>
      </c>
      <c r="G65">
        <f t="shared" si="4"/>
        <v>115.99389019046811</v>
      </c>
      <c r="H65">
        <f t="shared" si="5"/>
        <v>-5.1780904519546311</v>
      </c>
    </row>
    <row r="66" spans="2:8">
      <c r="B66" s="2">
        <f t="shared" si="0"/>
        <v>-2.6822090148925781E-5</v>
      </c>
      <c r="C66" s="2">
        <f t="shared" si="1"/>
        <v>0.48672604560852051</v>
      </c>
      <c r="D66">
        <v>8165908</v>
      </c>
      <c r="E66">
        <f t="shared" si="7"/>
        <v>99989.333477230495</v>
      </c>
      <c r="F66">
        <f t="shared" si="3"/>
        <v>73.754550741673157</v>
      </c>
      <c r="G66">
        <f t="shared" si="4"/>
        <v>130.27484224193984</v>
      </c>
      <c r="H66">
        <f t="shared" si="5"/>
        <v>-6.9349425695836544</v>
      </c>
    </row>
    <row r="67" spans="2:8">
      <c r="B67" s="2">
        <f t="shared" si="0"/>
        <v>1.0132789611816406E-5</v>
      </c>
      <c r="C67" s="2">
        <f t="shared" si="1"/>
        <v>0.48676300048828125</v>
      </c>
      <c r="D67">
        <v>8166528</v>
      </c>
      <c r="E67">
        <f t="shared" si="7"/>
        <v>99998.888286993038</v>
      </c>
      <c r="F67">
        <f t="shared" si="3"/>
        <v>72.977891906556067</v>
      </c>
      <c r="G67">
        <f t="shared" si="4"/>
        <v>52.608958730230881</v>
      </c>
      <c r="H67">
        <f t="shared" si="5"/>
        <v>2.6198671929596458</v>
      </c>
    </row>
    <row r="68" spans="2:8">
      <c r="B68" s="2">
        <f t="shared" si="0"/>
        <v>2.4020671844482422E-5</v>
      </c>
      <c r="C68" s="2">
        <f t="shared" si="1"/>
        <v>0.48677688837051392</v>
      </c>
      <c r="D68">
        <v>8166761</v>
      </c>
      <c r="E68">
        <f t="shared" si="7"/>
        <v>100002.47904614572</v>
      </c>
      <c r="F68">
        <f t="shared" si="3"/>
        <v>72.686034039845708</v>
      </c>
      <c r="G68">
        <f t="shared" si="4"/>
        <v>23.423172059194997</v>
      </c>
      <c r="H68">
        <f t="shared" si="5"/>
        <v>6.210626345637138</v>
      </c>
    </row>
    <row r="69" spans="2:8">
      <c r="B69" s="2">
        <f t="shared" ref="B69:B132" si="8">C69-$A$4</f>
        <v>3.1828880310058594E-5</v>
      </c>
      <c r="C69" s="2">
        <f t="shared" ref="C69:C132" si="9">D69/2^24</f>
        <v>0.48678469657897949</v>
      </c>
      <c r="D69">
        <v>8166892</v>
      </c>
      <c r="E69">
        <f t="shared" si="7"/>
        <v>100004.49788498266</v>
      </c>
      <c r="F69">
        <f t="shared" ref="F69:F132" si="10">$S$7 + ($S$9/$S$10)*((E69/$S$11)^(-$S$8*$S$10/($S$5*$S$6)) - 1)</f>
        <v>72.521946004515684</v>
      </c>
      <c r="G69">
        <f t="shared" ref="G69:G132" si="11">(F69-$I$4)*100</f>
        <v>7.014368526192527</v>
      </c>
      <c r="H69">
        <f t="shared" ref="H69:H132" si="12">E69-$J$4</f>
        <v>8.2294651825795881</v>
      </c>
    </row>
    <row r="70" spans="2:8">
      <c r="B70" s="2">
        <f t="shared" si="8"/>
        <v>4.9173831939697266E-5</v>
      </c>
      <c r="C70" s="2">
        <f t="shared" si="9"/>
        <v>0.48680204153060913</v>
      </c>
      <c r="D70">
        <v>8167183</v>
      </c>
      <c r="E70">
        <f t="shared" si="7"/>
        <v>100008.98248117766</v>
      </c>
      <c r="F70">
        <f t="shared" si="10"/>
        <v>72.157454698358876</v>
      </c>
      <c r="G70">
        <f t="shared" si="11"/>
        <v>-29.434762089488231</v>
      </c>
      <c r="H70">
        <f t="shared" si="12"/>
        <v>12.714061377584585</v>
      </c>
    </row>
    <row r="71" spans="2:8">
      <c r="B71" s="2">
        <f t="shared" si="8"/>
        <v>6.9916248321533203E-5</v>
      </c>
      <c r="C71" s="2">
        <f t="shared" si="9"/>
        <v>0.48682278394699097</v>
      </c>
      <c r="D71">
        <v>8167531</v>
      </c>
      <c r="E71">
        <f t="shared" si="7"/>
        <v>100014.34550343147</v>
      </c>
      <c r="F71">
        <f t="shared" si="10"/>
        <v>71.721585564616902</v>
      </c>
      <c r="G71">
        <f t="shared" si="11"/>
        <v>-73.021675463685654</v>
      </c>
      <c r="H71">
        <f t="shared" si="12"/>
        <v>18.077083631389542</v>
      </c>
    </row>
    <row r="72" spans="2:8">
      <c r="B72" s="2">
        <f t="shared" si="8"/>
        <v>3.2663345336914063E-5</v>
      </c>
      <c r="C72" s="2">
        <f t="shared" si="9"/>
        <v>0.48678553104400635</v>
      </c>
      <c r="D72">
        <v>8166906</v>
      </c>
      <c r="E72">
        <f t="shared" si="7"/>
        <v>100004.71363875149</v>
      </c>
      <c r="F72">
        <f t="shared" si="10"/>
        <v>72.504410037250679</v>
      </c>
      <c r="G72">
        <f t="shared" si="11"/>
        <v>5.2607717996920655</v>
      </c>
      <c r="H72">
        <f t="shared" si="12"/>
        <v>8.4452189514122438</v>
      </c>
    </row>
    <row r="73" spans="2:8">
      <c r="B73" s="2">
        <f t="shared" si="8"/>
        <v>2.6404857635498047E-5</v>
      </c>
      <c r="C73" s="2">
        <f t="shared" si="9"/>
        <v>0.48677927255630493</v>
      </c>
      <c r="D73">
        <v>8166801</v>
      </c>
      <c r="E73">
        <f t="shared" si="7"/>
        <v>100003.09548548525</v>
      </c>
      <c r="F73">
        <f t="shared" si="10"/>
        <v>72.635930538482384</v>
      </c>
      <c r="G73">
        <f t="shared" si="11"/>
        <v>18.412821922862577</v>
      </c>
      <c r="H73">
        <f t="shared" si="12"/>
        <v>6.8270656851673266</v>
      </c>
    </row>
    <row r="74" spans="2:8">
      <c r="B74" s="2">
        <f t="shared" si="8"/>
        <v>2.4318695068359375E-5</v>
      </c>
      <c r="C74" s="2">
        <f t="shared" si="9"/>
        <v>0.48677718639373779</v>
      </c>
      <c r="D74">
        <v>8166766</v>
      </c>
      <c r="E74">
        <f t="shared" si="7"/>
        <v>100002.55610106316</v>
      </c>
      <c r="F74">
        <f t="shared" si="10"/>
        <v>72.679771088498043</v>
      </c>
      <c r="G74">
        <f t="shared" si="11"/>
        <v>22.796876924428489</v>
      </c>
      <c r="H74">
        <f t="shared" si="12"/>
        <v>6.2876812630856875</v>
      </c>
    </row>
    <row r="75" spans="2:8">
      <c r="B75" s="2">
        <f t="shared" si="8"/>
        <v>3.4034252166748047E-5</v>
      </c>
      <c r="C75" s="2">
        <f t="shared" si="9"/>
        <v>0.48678690195083618</v>
      </c>
      <c r="D75">
        <v>8166929</v>
      </c>
      <c r="E75">
        <f t="shared" si="7"/>
        <v>100005.06809137169</v>
      </c>
      <c r="F75">
        <f t="shared" si="10"/>
        <v>72.47560101467387</v>
      </c>
      <c r="G75">
        <f t="shared" si="11"/>
        <v>2.3798695420111926</v>
      </c>
      <c r="H75">
        <f t="shared" si="12"/>
        <v>8.7996715716144536</v>
      </c>
    </row>
    <row r="76" spans="2:8">
      <c r="B76" s="2">
        <f t="shared" si="8"/>
        <v>3.5405158996582031E-5</v>
      </c>
      <c r="C76" s="2">
        <f t="shared" si="9"/>
        <v>0.48678827285766602</v>
      </c>
      <c r="D76">
        <v>8166952</v>
      </c>
      <c r="E76">
        <f t="shared" si="7"/>
        <v>100005.42254399192</v>
      </c>
      <c r="F76">
        <f t="shared" si="10"/>
        <v>72.446792074772219</v>
      </c>
      <c r="G76">
        <f t="shared" si="11"/>
        <v>-0.50102444815394165</v>
      </c>
      <c r="H76">
        <f t="shared" si="12"/>
        <v>9.1541241918457672</v>
      </c>
    </row>
    <row r="77" spans="2:8">
      <c r="B77" s="2">
        <f t="shared" si="8"/>
        <v>3.6358833312988281E-6</v>
      </c>
      <c r="C77" s="2">
        <f t="shared" si="9"/>
        <v>0.48675650358200073</v>
      </c>
      <c r="D77">
        <v>8166419</v>
      </c>
      <c r="E77">
        <f t="shared" si="7"/>
        <v>99997.208489792843</v>
      </c>
      <c r="F77">
        <f t="shared" si="10"/>
        <v>73.114429186895435</v>
      </c>
      <c r="G77">
        <f t="shared" si="11"/>
        <v>66.262686764167711</v>
      </c>
      <c r="H77">
        <f t="shared" si="12"/>
        <v>0.94006999276462011</v>
      </c>
    </row>
    <row r="78" spans="2:8">
      <c r="B78" s="2">
        <f t="shared" si="8"/>
        <v>-6.67572021484375E-6</v>
      </c>
      <c r="C78" s="2">
        <f t="shared" si="9"/>
        <v>0.48674619197845459</v>
      </c>
      <c r="D78">
        <v>8166246</v>
      </c>
      <c r="E78">
        <f t="shared" si="7"/>
        <v>99994.542389649432</v>
      </c>
      <c r="F78">
        <f t="shared" si="10"/>
        <v>73.33113895871881</v>
      </c>
      <c r="G78">
        <f t="shared" si="11"/>
        <v>87.933663946505192</v>
      </c>
      <c r="H78">
        <f t="shared" si="12"/>
        <v>-1.7260301506466931</v>
      </c>
    </row>
    <row r="79" spans="2:8">
      <c r="B79" s="2">
        <f t="shared" si="8"/>
        <v>5.3644180297851563E-7</v>
      </c>
      <c r="C79" s="2">
        <f t="shared" si="9"/>
        <v>0.48675340414047241</v>
      </c>
      <c r="D79">
        <v>8166367</v>
      </c>
      <c r="E79">
        <f t="shared" si="7"/>
        <v>99996.407118651478</v>
      </c>
      <c r="F79">
        <f t="shared" si="10"/>
        <v>73.179566892416716</v>
      </c>
      <c r="G79">
        <f t="shared" si="11"/>
        <v>72.776457316295762</v>
      </c>
      <c r="H79">
        <f t="shared" si="12"/>
        <v>0.13869885139865801</v>
      </c>
    </row>
    <row r="80" spans="2:8">
      <c r="B80" s="2">
        <f t="shared" si="8"/>
        <v>2.7060508728027344E-5</v>
      </c>
      <c r="C80" s="2">
        <f t="shared" si="9"/>
        <v>0.48677992820739746</v>
      </c>
      <c r="D80">
        <v>8166812</v>
      </c>
      <c r="E80">
        <f t="shared" si="7"/>
        <v>100003.26500630363</v>
      </c>
      <c r="F80">
        <f t="shared" si="10"/>
        <v>72.622152119451044</v>
      </c>
      <c r="G80">
        <f t="shared" si="11"/>
        <v>17.034980019728607</v>
      </c>
      <c r="H80">
        <f t="shared" si="12"/>
        <v>6.9965865035483148</v>
      </c>
    </row>
    <row r="81" spans="2:8">
      <c r="B81" s="2">
        <f t="shared" si="8"/>
        <v>6.7532062530517578E-5</v>
      </c>
      <c r="C81" s="2">
        <f t="shared" si="9"/>
        <v>0.48682039976119995</v>
      </c>
      <c r="D81">
        <v>8167491</v>
      </c>
      <c r="E81">
        <f t="shared" si="7"/>
        <v>100013.72906409194</v>
      </c>
      <c r="F81">
        <f t="shared" si="10"/>
        <v>71.771684502383948</v>
      </c>
      <c r="G81">
        <f t="shared" si="11"/>
        <v>-68.01178168698101</v>
      </c>
      <c r="H81">
        <f t="shared" si="12"/>
        <v>17.460644291859353</v>
      </c>
    </row>
    <row r="82" spans="2:8">
      <c r="B82" s="2">
        <f t="shared" si="8"/>
        <v>1.2636184692382813E-5</v>
      </c>
      <c r="C82" s="2">
        <f t="shared" si="9"/>
        <v>0.48676550388336182</v>
      </c>
      <c r="D82">
        <v>8166570</v>
      </c>
      <c r="E82">
        <f t="shared" si="7"/>
        <v>99999.535548299536</v>
      </c>
      <c r="F82">
        <f t="shared" si="10"/>
        <v>72.925281707054523</v>
      </c>
      <c r="G82">
        <f t="shared" si="11"/>
        <v>47.347938780076504</v>
      </c>
      <c r="H82">
        <f t="shared" si="12"/>
        <v>3.2671284994576126</v>
      </c>
    </row>
    <row r="83" spans="2:8">
      <c r="B83" s="2">
        <f t="shared" si="8"/>
        <v>2.9742717742919922E-5</v>
      </c>
      <c r="C83" s="2">
        <f t="shared" si="9"/>
        <v>0.48678261041641235</v>
      </c>
      <c r="D83">
        <v>8166857</v>
      </c>
      <c r="E83">
        <f t="shared" si="7"/>
        <v>100003.95850056058</v>
      </c>
      <c r="F83">
        <f t="shared" si="10"/>
        <v>72.56578605671298</v>
      </c>
      <c r="G83">
        <f t="shared" si="11"/>
        <v>11.398373745922186</v>
      </c>
      <c r="H83">
        <f t="shared" si="12"/>
        <v>7.6900807604979491</v>
      </c>
    </row>
    <row r="84" spans="2:8">
      <c r="B84" s="2">
        <f t="shared" si="8"/>
        <v>6.7949295043945313E-5</v>
      </c>
      <c r="C84" s="2">
        <f t="shared" si="9"/>
        <v>0.48682081699371338</v>
      </c>
      <c r="D84">
        <v>8167498</v>
      </c>
      <c r="E84">
        <f t="shared" si="7"/>
        <v>100013.83694097635</v>
      </c>
      <c r="F84">
        <f t="shared" si="10"/>
        <v>71.762917170225805</v>
      </c>
      <c r="G84">
        <f t="shared" si="11"/>
        <v>-68.88851490279535</v>
      </c>
      <c r="H84">
        <f t="shared" si="12"/>
        <v>17.568521176275681</v>
      </c>
    </row>
    <row r="85" spans="2:8">
      <c r="B85" s="2">
        <f t="shared" si="8"/>
        <v>3.5583972930908203E-5</v>
      </c>
      <c r="C85" s="2">
        <f t="shared" si="9"/>
        <v>0.48678845167160034</v>
      </c>
      <c r="D85">
        <v>8166955</v>
      </c>
      <c r="E85">
        <f t="shared" si="7"/>
        <v>100005.46877694239</v>
      </c>
      <c r="F85">
        <f t="shared" si="10"/>
        <v>72.44303439305726</v>
      </c>
      <c r="G85">
        <f t="shared" si="11"/>
        <v>-0.87679261964979105</v>
      </c>
      <c r="H85">
        <f t="shared" si="12"/>
        <v>9.2003571423119865</v>
      </c>
    </row>
    <row r="86" spans="2:8">
      <c r="B86" s="2">
        <f t="shared" si="8"/>
        <v>9.2267990112304688E-5</v>
      </c>
      <c r="C86" s="2">
        <f t="shared" si="9"/>
        <v>0.48684513568878174</v>
      </c>
      <c r="D86">
        <v>8167906</v>
      </c>
      <c r="E86">
        <f t="shared" si="7"/>
        <v>100020.12462223945</v>
      </c>
      <c r="F86">
        <f t="shared" si="10"/>
        <v>71.251920182475985</v>
      </c>
      <c r="G86">
        <f t="shared" si="11"/>
        <v>-119.98821367777737</v>
      </c>
      <c r="H86">
        <f t="shared" si="12"/>
        <v>23.85620243937592</v>
      </c>
    </row>
    <row r="87" spans="2:8">
      <c r="B87" s="2">
        <f t="shared" si="8"/>
        <v>7.0750713348388672E-5</v>
      </c>
      <c r="C87" s="2">
        <f t="shared" si="9"/>
        <v>0.48682361841201782</v>
      </c>
      <c r="D87">
        <v>8167545</v>
      </c>
      <c r="E87">
        <f t="shared" si="7"/>
        <v>100014.56125720029</v>
      </c>
      <c r="F87">
        <f t="shared" si="10"/>
        <v>71.704050995465906</v>
      </c>
      <c r="G87">
        <f t="shared" si="11"/>
        <v>-74.775132378785258</v>
      </c>
      <c r="H87">
        <f t="shared" si="12"/>
        <v>18.292837400207645</v>
      </c>
    </row>
    <row r="88" spans="2:8">
      <c r="B88" s="2">
        <f t="shared" si="8"/>
        <v>8.0585479736328125E-5</v>
      </c>
      <c r="C88" s="2">
        <f t="shared" si="9"/>
        <v>0.48683345317840576</v>
      </c>
      <c r="D88">
        <v>8167710</v>
      </c>
      <c r="E88">
        <f t="shared" si="7"/>
        <v>100017.1040694758</v>
      </c>
      <c r="F88">
        <f t="shared" si="10"/>
        <v>71.497395881048917</v>
      </c>
      <c r="G88">
        <f t="shared" si="11"/>
        <v>-95.440643820484183</v>
      </c>
      <c r="H88">
        <f t="shared" si="12"/>
        <v>20.835649675718741</v>
      </c>
    </row>
    <row r="89" spans="2:8">
      <c r="B89" s="2">
        <f t="shared" si="8"/>
        <v>3.9756298065185547E-5</v>
      </c>
      <c r="C89" s="2">
        <f t="shared" si="9"/>
        <v>0.48679262399673462</v>
      </c>
      <c r="D89">
        <v>8167025</v>
      </c>
      <c r="E89">
        <f t="shared" si="7"/>
        <v>100006.54754578655</v>
      </c>
      <c r="F89">
        <f t="shared" si="10"/>
        <v>72.355355552321456</v>
      </c>
      <c r="G89">
        <f t="shared" si="11"/>
        <v>-9.6446766932302808</v>
      </c>
      <c r="H89">
        <f t="shared" si="12"/>
        <v>10.279125986475265</v>
      </c>
    </row>
    <row r="90" spans="2:8">
      <c r="B90" s="2">
        <f t="shared" si="8"/>
        <v>4.5180320739746094E-5</v>
      </c>
      <c r="C90" s="2">
        <f t="shared" si="9"/>
        <v>0.48679804801940918</v>
      </c>
      <c r="D90">
        <v>8167116</v>
      </c>
      <c r="E90">
        <f t="shared" si="7"/>
        <v>100007.94994528395</v>
      </c>
      <c r="F90">
        <f t="shared" si="10"/>
        <v>72.241374204289642</v>
      </c>
      <c r="G90">
        <f t="shared" si="11"/>
        <v>-21.042811496411673</v>
      </c>
      <c r="H90">
        <f t="shared" si="12"/>
        <v>11.681525483872974</v>
      </c>
    </row>
    <row r="91" spans="2:8">
      <c r="B91" s="2">
        <f t="shared" si="8"/>
        <v>1.9133090972900391E-5</v>
      </c>
      <c r="C91" s="2">
        <f t="shared" si="9"/>
        <v>0.48677200078964233</v>
      </c>
      <c r="D91">
        <v>8166679</v>
      </c>
      <c r="E91">
        <f t="shared" si="7"/>
        <v>100001.2153454997</v>
      </c>
      <c r="F91">
        <f t="shared" si="10"/>
        <v>72.788746999479812</v>
      </c>
      <c r="G91">
        <f t="shared" si="11"/>
        <v>33.694468022605406</v>
      </c>
      <c r="H91">
        <f t="shared" si="12"/>
        <v>4.9469256996235345</v>
      </c>
    </row>
    <row r="92" spans="2:8">
      <c r="B92" s="2">
        <f t="shared" si="8"/>
        <v>6.2704086303710938E-5</v>
      </c>
      <c r="C92" s="2">
        <f t="shared" si="9"/>
        <v>0.48681557178497314</v>
      </c>
      <c r="D92">
        <v>8167410</v>
      </c>
      <c r="E92">
        <f t="shared" si="7"/>
        <v>100012.48077442942</v>
      </c>
      <c r="F92">
        <f t="shared" si="10"/>
        <v>71.873135617179571</v>
      </c>
      <c r="G92">
        <f t="shared" si="11"/>
        <v>-57.866670207418736</v>
      </c>
      <c r="H92">
        <f t="shared" si="12"/>
        <v>16.21235462934419</v>
      </c>
    </row>
    <row r="93" spans="2:8">
      <c r="B93" s="2">
        <f t="shared" si="8"/>
        <v>2.7239322662353516E-5</v>
      </c>
      <c r="C93" s="2">
        <f t="shared" si="9"/>
        <v>0.48678010702133179</v>
      </c>
      <c r="D93">
        <v>8166815</v>
      </c>
      <c r="E93">
        <f t="shared" si="7"/>
        <v>100003.31123925408</v>
      </c>
      <c r="F93">
        <f t="shared" si="10"/>
        <v>72.618394372088133</v>
      </c>
      <c r="G93">
        <f t="shared" si="11"/>
        <v>16.659205283437473</v>
      </c>
      <c r="H93">
        <f t="shared" si="12"/>
        <v>7.0428194539999822</v>
      </c>
    </row>
    <row r="94" spans="2:8">
      <c r="B94" s="2">
        <f t="shared" si="8"/>
        <v>-1.3887882232666016E-5</v>
      </c>
      <c r="C94" s="2">
        <f t="shared" si="9"/>
        <v>0.48673897981643677</v>
      </c>
      <c r="D94">
        <v>8166125</v>
      </c>
      <c r="E94">
        <f t="shared" si="7"/>
        <v>99992.677660647387</v>
      </c>
      <c r="F94">
        <f t="shared" si="10"/>
        <v>73.482713313805263</v>
      </c>
      <c r="G94">
        <f t="shared" si="11"/>
        <v>103.09109945515047</v>
      </c>
      <c r="H94">
        <f t="shared" si="12"/>
        <v>-3.5907591526920442</v>
      </c>
    </row>
    <row r="95" spans="2:8">
      <c r="B95" s="2">
        <f t="shared" si="8"/>
        <v>-7.152557373046875E-7</v>
      </c>
      <c r="C95" s="2">
        <f t="shared" si="9"/>
        <v>0.48675215244293213</v>
      </c>
      <c r="D95">
        <v>8166346</v>
      </c>
      <c r="E95">
        <f t="shared" si="7"/>
        <v>99996.083487998214</v>
      </c>
      <c r="F95">
        <f t="shared" si="10"/>
        <v>73.205872624082389</v>
      </c>
      <c r="G95">
        <f t="shared" si="11"/>
        <v>75.407030482863036</v>
      </c>
      <c r="H95">
        <f t="shared" si="12"/>
        <v>-0.18493180186487734</v>
      </c>
    </row>
    <row r="96" spans="2:8">
      <c r="B96" s="2">
        <f t="shared" si="8"/>
        <v>-6.3776969909667969E-6</v>
      </c>
      <c r="C96" s="2">
        <f t="shared" si="9"/>
        <v>0.48674649000167847</v>
      </c>
      <c r="D96">
        <v>8166251</v>
      </c>
      <c r="E96">
        <f>((D96-$N$8)*($N$10-$N$9))/($N$7-$N$8)+$N$9</f>
        <v>99994.619444566866</v>
      </c>
      <c r="F96">
        <f t="shared" si="10"/>
        <v>73.324875604860608</v>
      </c>
      <c r="G96">
        <f t="shared" si="11"/>
        <v>87.307328560684994</v>
      </c>
      <c r="H96">
        <f t="shared" si="12"/>
        <v>-1.6489752332126955</v>
      </c>
    </row>
    <row r="97" spans="2:8">
      <c r="B97" s="2">
        <f t="shared" si="8"/>
        <v>-4.0590763092041016E-5</v>
      </c>
      <c r="C97" s="2">
        <f t="shared" si="9"/>
        <v>0.48671227693557739</v>
      </c>
      <c r="D97">
        <v>8165677</v>
      </c>
      <c r="E97">
        <f>((D97-$N$8)*($N$10-$N$9))/($N$7-$N$8)+$N$9</f>
        <v>99985.773540044771</v>
      </c>
      <c r="F97">
        <f t="shared" si="10"/>
        <v>74.043934157856782</v>
      </c>
      <c r="G97">
        <f t="shared" si="11"/>
        <v>159.21318386030237</v>
      </c>
      <c r="H97">
        <f t="shared" si="12"/>
        <v>-10.49487975530792</v>
      </c>
    </row>
    <row r="98" spans="2:8">
      <c r="B98" s="2">
        <f t="shared" si="8"/>
        <v>-1.0013580322265625E-5</v>
      </c>
      <c r="C98" s="2">
        <f t="shared" si="9"/>
        <v>0.48674285411834717</v>
      </c>
      <c r="D98">
        <v>8166190</v>
      </c>
      <c r="E98">
        <f t="shared" ref="E98" si="13">((D98-$N$8)*($N$10-$N$9))/($N$7-$N$8)+$N$9</f>
        <v>99993.679374574102</v>
      </c>
      <c r="F98">
        <f t="shared" si="10"/>
        <v>73.401288788952272</v>
      </c>
      <c r="G98">
        <f t="shared" si="11"/>
        <v>94.948646969851325</v>
      </c>
      <c r="H98">
        <f t="shared" si="12"/>
        <v>-2.5890452259773156</v>
      </c>
    </row>
    <row r="99" spans="2:8">
      <c r="B99" s="2">
        <f t="shared" si="8"/>
        <v>-2.1696090698242188E-5</v>
      </c>
      <c r="C99" s="2">
        <f t="shared" si="9"/>
        <v>0.48673117160797119</v>
      </c>
      <c r="D99">
        <v>8165994</v>
      </c>
      <c r="E99">
        <f>((D99-$N$8)*($N$10-$N$9))/($N$7-$N$8)+$N$9</f>
        <v>99990.658821810459</v>
      </c>
      <c r="F99">
        <f t="shared" si="10"/>
        <v>73.646817055512656</v>
      </c>
      <c r="G99">
        <f t="shared" si="11"/>
        <v>119.50147362588979</v>
      </c>
      <c r="H99">
        <f t="shared" si="12"/>
        <v>-5.6095979896199424</v>
      </c>
    </row>
    <row r="100" spans="2:8">
      <c r="B100" s="2">
        <f t="shared" si="8"/>
        <v>4.1425228118896484E-5</v>
      </c>
      <c r="C100" s="2">
        <f t="shared" si="9"/>
        <v>0.48679429292678833</v>
      </c>
      <c r="D100">
        <v>8167053</v>
      </c>
      <c r="E100">
        <f>((D100-$N$8)*($N$10-$N$9))/($N$7-$N$8)+$N$9</f>
        <v>100006.9790533242</v>
      </c>
      <c r="F100">
        <f t="shared" si="10"/>
        <v>72.320284230462818</v>
      </c>
      <c r="G100">
        <f t="shared" si="11"/>
        <v>-13.151808879094062</v>
      </c>
      <c r="H100">
        <f t="shared" si="12"/>
        <v>10.710633524126024</v>
      </c>
    </row>
    <row r="101" spans="2:8">
      <c r="B101" s="2">
        <f t="shared" si="8"/>
        <v>-3.337860107421875E-6</v>
      </c>
      <c r="C101" s="2">
        <f t="shared" si="9"/>
        <v>0.48674952983856201</v>
      </c>
      <c r="D101">
        <v>8166302</v>
      </c>
      <c r="E101">
        <f t="shared" ref="E101:E128" si="14">((D101-$N$8)*($N$10-$N$9))/($N$7-$N$8)+$N$9</f>
        <v>99995.405404724748</v>
      </c>
      <c r="F101">
        <f t="shared" si="10"/>
        <v>73.26098961873079</v>
      </c>
      <c r="G101">
        <f t="shared" si="11"/>
        <v>80.918729947703127</v>
      </c>
      <c r="H101">
        <f t="shared" si="12"/>
        <v>-0.86301507533062249</v>
      </c>
    </row>
    <row r="102" spans="2:8">
      <c r="B102" s="2">
        <f t="shared" si="8"/>
        <v>6.1452388763427734E-5</v>
      </c>
      <c r="C102" s="2">
        <f t="shared" si="9"/>
        <v>0.48681432008743286</v>
      </c>
      <c r="D102">
        <v>8167389</v>
      </c>
      <c r="E102">
        <f t="shared" si="14"/>
        <v>100012.15714377616</v>
      </c>
      <c r="F102">
        <f t="shared" si="10"/>
        <v>71.899437925422347</v>
      </c>
      <c r="G102">
        <f t="shared" si="11"/>
        <v>-55.236439383141089</v>
      </c>
      <c r="H102">
        <f t="shared" si="12"/>
        <v>15.888723976080655</v>
      </c>
    </row>
    <row r="103" spans="2:8">
      <c r="B103" s="2">
        <f t="shared" si="8"/>
        <v>2.2470951080322266E-5</v>
      </c>
      <c r="C103" s="2">
        <f t="shared" si="9"/>
        <v>0.48677533864974976</v>
      </c>
      <c r="D103">
        <v>8166735</v>
      </c>
      <c r="E103">
        <f t="shared" si="14"/>
        <v>100002.07836057505</v>
      </c>
      <c r="F103">
        <f t="shared" si="10"/>
        <v>72.718601449840989</v>
      </c>
      <c r="G103">
        <f t="shared" si="11"/>
        <v>26.679913058723059</v>
      </c>
      <c r="H103">
        <f t="shared" si="12"/>
        <v>5.8099407749687089</v>
      </c>
    </row>
    <row r="104" spans="2:8">
      <c r="B104" s="2">
        <f t="shared" si="8"/>
        <v>3.0457973480224609E-5</v>
      </c>
      <c r="C104" s="2">
        <f t="shared" si="9"/>
        <v>0.48678332567214966</v>
      </c>
      <c r="D104">
        <v>8166869</v>
      </c>
      <c r="E104">
        <f t="shared" si="14"/>
        <v>100004.14343236243</v>
      </c>
      <c r="F104">
        <f t="shared" si="10"/>
        <v>72.55075516010821</v>
      </c>
      <c r="G104">
        <f t="shared" si="11"/>
        <v>9.8952840854451551</v>
      </c>
      <c r="H104">
        <f t="shared" si="12"/>
        <v>7.8750125623482745</v>
      </c>
    </row>
    <row r="105" spans="2:8">
      <c r="B105" s="2">
        <f t="shared" si="8"/>
        <v>2.3305416107177734E-5</v>
      </c>
      <c r="C105" s="2">
        <f t="shared" si="9"/>
        <v>0.48677617311477661</v>
      </c>
      <c r="D105">
        <v>8166749</v>
      </c>
      <c r="E105">
        <f t="shared" si="14"/>
        <v>100002.29411434387</v>
      </c>
      <c r="F105">
        <f t="shared" si="10"/>
        <v>72.701065139024124</v>
      </c>
      <c r="G105">
        <f t="shared" si="11"/>
        <v>24.926281977036524</v>
      </c>
      <c r="H105">
        <f t="shared" si="12"/>
        <v>6.0256945437868126</v>
      </c>
    </row>
    <row r="106" spans="2:8">
      <c r="B106" s="2">
        <f t="shared" si="8"/>
        <v>9.0003013610839844E-6</v>
      </c>
      <c r="C106" s="2">
        <f t="shared" si="9"/>
        <v>0.48676186800003052</v>
      </c>
      <c r="D106">
        <v>8166509</v>
      </c>
      <c r="E106">
        <f t="shared" si="14"/>
        <v>99998.595478306757</v>
      </c>
      <c r="F106">
        <f t="shared" si="10"/>
        <v>73.001691849296606</v>
      </c>
      <c r="G106">
        <f t="shared" si="11"/>
        <v>54.988953004284724</v>
      </c>
      <c r="H106">
        <f t="shared" si="12"/>
        <v>2.3270585066784406</v>
      </c>
    </row>
    <row r="107" spans="2:8">
      <c r="B107" s="2">
        <f t="shared" si="8"/>
        <v>3.5703182220458984E-5</v>
      </c>
      <c r="C107" s="2">
        <f t="shared" si="9"/>
        <v>0.48678857088088989</v>
      </c>
      <c r="D107">
        <v>8166957</v>
      </c>
      <c r="E107">
        <f t="shared" si="14"/>
        <v>100005.49959890937</v>
      </c>
      <c r="F107">
        <f t="shared" si="10"/>
        <v>72.440529272693112</v>
      </c>
      <c r="G107">
        <f t="shared" si="11"/>
        <v>-1.1273046560646094</v>
      </c>
      <c r="H107">
        <f t="shared" si="12"/>
        <v>9.2311791092943167</v>
      </c>
    </row>
    <row r="108" spans="2:8">
      <c r="B108" s="2">
        <f t="shared" si="8"/>
        <v>5.3644180297851563E-5</v>
      </c>
      <c r="C108" s="2">
        <f t="shared" si="9"/>
        <v>0.48680651187896729</v>
      </c>
      <c r="D108">
        <v>8167258</v>
      </c>
      <c r="E108">
        <f t="shared" si="14"/>
        <v>100010.13830493925</v>
      </c>
      <c r="F108">
        <f t="shared" si="10"/>
        <v>72.063515785140595</v>
      </c>
      <c r="G108">
        <f t="shared" si="11"/>
        <v>-38.828653411316338</v>
      </c>
      <c r="H108">
        <f t="shared" si="12"/>
        <v>13.869885139167309</v>
      </c>
    </row>
    <row r="109" spans="2:8">
      <c r="B109" s="2">
        <f t="shared" si="8"/>
        <v>1.8060207366943359E-5</v>
      </c>
      <c r="C109" s="2">
        <f t="shared" si="9"/>
        <v>0.48677092790603638</v>
      </c>
      <c r="D109">
        <v>8166661</v>
      </c>
      <c r="E109">
        <f t="shared" si="14"/>
        <v>100000.93794779693</v>
      </c>
      <c r="F109">
        <f t="shared" si="10"/>
        <v>72.811293887388771</v>
      </c>
      <c r="G109">
        <f t="shared" si="11"/>
        <v>35.949156813501304</v>
      </c>
      <c r="H109">
        <f t="shared" si="12"/>
        <v>4.6695279968553223</v>
      </c>
    </row>
    <row r="110" spans="2:8">
      <c r="B110" s="2">
        <f t="shared" si="8"/>
        <v>8.0466270446777344E-5</v>
      </c>
      <c r="C110" s="2">
        <f t="shared" si="9"/>
        <v>0.48683333396911621</v>
      </c>
      <c r="D110">
        <v>8167708</v>
      </c>
      <c r="E110">
        <f t="shared" si="14"/>
        <v>100017.07324750883</v>
      </c>
      <c r="F110">
        <f t="shared" si="10"/>
        <v>71.499900766053457</v>
      </c>
      <c r="G110">
        <f t="shared" si="11"/>
        <v>-95.190155320030101</v>
      </c>
      <c r="H110">
        <f t="shared" si="12"/>
        <v>20.804827708750963</v>
      </c>
    </row>
    <row r="111" spans="2:8">
      <c r="B111" s="2">
        <f t="shared" si="8"/>
        <v>5.5134296417236328E-5</v>
      </c>
      <c r="C111" s="2">
        <f t="shared" si="9"/>
        <v>0.48680800199508667</v>
      </c>
      <c r="D111">
        <v>8167283</v>
      </c>
      <c r="E111">
        <f t="shared" si="14"/>
        <v>100010.52357952645</v>
      </c>
      <c r="F111">
        <f t="shared" si="10"/>
        <v>72.032203009418524</v>
      </c>
      <c r="G111">
        <f t="shared" si="11"/>
        <v>-41.959930983523464</v>
      </c>
      <c r="H111">
        <f t="shared" si="12"/>
        <v>14.255159726366401</v>
      </c>
    </row>
    <row r="112" spans="2:8">
      <c r="B112" s="2">
        <f t="shared" si="8"/>
        <v>6.3538551330566406E-5</v>
      </c>
      <c r="C112" s="2">
        <f t="shared" si="9"/>
        <v>0.48681640625</v>
      </c>
      <c r="D112">
        <v>8167424</v>
      </c>
      <c r="E112">
        <f t="shared" si="14"/>
        <v>100012.69652819824</v>
      </c>
      <c r="F112">
        <f t="shared" si="10"/>
        <v>71.855600783308404</v>
      </c>
      <c r="G112">
        <f t="shared" si="11"/>
        <v>-59.620153594535452</v>
      </c>
      <c r="H112">
        <f t="shared" si="12"/>
        <v>16.428108398162294</v>
      </c>
    </row>
    <row r="113" spans="2:8">
      <c r="B113" s="2">
        <f t="shared" si="8"/>
        <v>7.3909759521484375E-5</v>
      </c>
      <c r="C113" s="2">
        <f t="shared" si="9"/>
        <v>0.48682677745819092</v>
      </c>
      <c r="D113">
        <v>8167598</v>
      </c>
      <c r="E113">
        <f t="shared" si="14"/>
        <v>100015.37803932515</v>
      </c>
      <c r="F113">
        <f t="shared" si="10"/>
        <v>71.637670404007039</v>
      </c>
      <c r="G113">
        <f t="shared" si="11"/>
        <v>-81.413191524671902</v>
      </c>
      <c r="H113">
        <f t="shared" si="12"/>
        <v>19.109619525072048</v>
      </c>
    </row>
    <row r="114" spans="2:8">
      <c r="B114" s="2">
        <f t="shared" si="8"/>
        <v>6.7412853240966797E-5</v>
      </c>
      <c r="C114" s="2">
        <f t="shared" si="9"/>
        <v>0.4868202805519104</v>
      </c>
      <c r="D114">
        <v>8167489</v>
      </c>
      <c r="E114">
        <f t="shared" si="14"/>
        <v>100013.69824212497</v>
      </c>
      <c r="F114">
        <f t="shared" si="10"/>
        <v>71.774189455834716</v>
      </c>
      <c r="G114">
        <f t="shared" si="11"/>
        <v>-67.761286341904281</v>
      </c>
      <c r="H114">
        <f t="shared" si="12"/>
        <v>17.429822324891575</v>
      </c>
    </row>
    <row r="115" spans="2:8">
      <c r="B115" s="2">
        <f t="shared" si="8"/>
        <v>3.2484531402587891E-5</v>
      </c>
      <c r="C115" s="2">
        <f t="shared" si="9"/>
        <v>0.48678535223007202</v>
      </c>
      <c r="D115">
        <v>8166903</v>
      </c>
      <c r="E115">
        <f t="shared" si="14"/>
        <v>100004.66740580102</v>
      </c>
      <c r="F115">
        <f t="shared" si="10"/>
        <v>72.508167741940994</v>
      </c>
      <c r="G115">
        <f t="shared" si="11"/>
        <v>5.6365422687235878</v>
      </c>
      <c r="H115">
        <f t="shared" si="12"/>
        <v>8.3989860009460244</v>
      </c>
    </row>
    <row r="116" spans="2:8">
      <c r="B116" s="2">
        <f t="shared" si="8"/>
        <v>1.5556812286376953E-5</v>
      </c>
      <c r="C116" s="2">
        <f t="shared" si="9"/>
        <v>0.48676842451095581</v>
      </c>
      <c r="D116">
        <v>8166619</v>
      </c>
      <c r="E116">
        <f t="shared" si="14"/>
        <v>100000.29068649044</v>
      </c>
      <c r="F116">
        <f t="shared" si="10"/>
        <v>72.863903489469322</v>
      </c>
      <c r="G116">
        <f t="shared" si="11"/>
        <v>41.210117021556414</v>
      </c>
      <c r="H116">
        <f t="shared" si="12"/>
        <v>4.0222666903573554</v>
      </c>
    </row>
    <row r="117" spans="2:8">
      <c r="B117" s="2">
        <f t="shared" si="8"/>
        <v>2.9206275939941406E-5</v>
      </c>
      <c r="C117" s="2">
        <f t="shared" si="9"/>
        <v>0.48678207397460938</v>
      </c>
      <c r="D117">
        <v>8166848</v>
      </c>
      <c r="E117">
        <f t="shared" si="14"/>
        <v>100003.81980170918</v>
      </c>
      <c r="F117">
        <f t="shared" si="10"/>
        <v>72.57705924394304</v>
      </c>
      <c r="G117">
        <f t="shared" si="11"/>
        <v>12.525692468928185</v>
      </c>
      <c r="H117">
        <f t="shared" si="12"/>
        <v>7.5513819090992911</v>
      </c>
    </row>
    <row r="118" spans="2:8">
      <c r="B118" s="2">
        <f t="shared" si="8"/>
        <v>2.4318695068359375E-5</v>
      </c>
      <c r="C118" s="2">
        <f t="shared" si="9"/>
        <v>0.48677718639373779</v>
      </c>
      <c r="D118">
        <v>8166766</v>
      </c>
      <c r="E118">
        <f t="shared" si="14"/>
        <v>100002.55610106316</v>
      </c>
      <c r="F118">
        <f t="shared" si="10"/>
        <v>72.679771088498043</v>
      </c>
      <c r="G118">
        <f t="shared" si="11"/>
        <v>22.796876924428489</v>
      </c>
      <c r="H118">
        <f t="shared" si="12"/>
        <v>6.2876812630856875</v>
      </c>
    </row>
    <row r="119" spans="2:8">
      <c r="B119" s="2">
        <f t="shared" si="8"/>
        <v>5.7399272918701172E-5</v>
      </c>
      <c r="C119" s="2">
        <f t="shared" si="9"/>
        <v>0.48681026697158813</v>
      </c>
      <c r="D119">
        <v>8167321</v>
      </c>
      <c r="E119">
        <f t="shared" si="14"/>
        <v>100011.10919689899</v>
      </c>
      <c r="F119">
        <f t="shared" si="10"/>
        <v>71.984607777397002</v>
      </c>
      <c r="G119">
        <f t="shared" si="11"/>
        <v>-46.719454185675602</v>
      </c>
      <c r="H119">
        <f t="shared" si="12"/>
        <v>14.840777098914259</v>
      </c>
    </row>
    <row r="120" spans="2:8">
      <c r="B120" s="2">
        <f t="shared" si="8"/>
        <v>2.1517276763916016E-5</v>
      </c>
      <c r="C120" s="2">
        <f t="shared" si="9"/>
        <v>0.48677438497543335</v>
      </c>
      <c r="D120">
        <v>8166719</v>
      </c>
      <c r="E120">
        <f t="shared" si="14"/>
        <v>100001.83178483923</v>
      </c>
      <c r="F120">
        <f t="shared" si="10"/>
        <v>72.738642985432577</v>
      </c>
      <c r="G120">
        <f t="shared" si="11"/>
        <v>28.684066617881854</v>
      </c>
      <c r="H120">
        <f t="shared" si="12"/>
        <v>5.563365039153723</v>
      </c>
    </row>
    <row r="121" spans="2:8">
      <c r="B121" s="2">
        <f t="shared" si="8"/>
        <v>6.0021877288818359E-5</v>
      </c>
      <c r="C121" s="2">
        <f t="shared" si="9"/>
        <v>0.48681288957595825</v>
      </c>
      <c r="D121">
        <v>8167365</v>
      </c>
      <c r="E121">
        <f t="shared" si="14"/>
        <v>100011.78728017246</v>
      </c>
      <c r="F121">
        <f t="shared" si="10"/>
        <v>71.929497790664186</v>
      </c>
      <c r="G121">
        <f t="shared" si="11"/>
        <v>-52.230452858957221</v>
      </c>
      <c r="H121">
        <f t="shared" si="12"/>
        <v>15.518860372380004</v>
      </c>
    </row>
    <row r="122" spans="2:8">
      <c r="B122" s="2">
        <f t="shared" si="8"/>
        <v>1.1086463928222656E-4</v>
      </c>
      <c r="C122" s="2">
        <f t="shared" si="9"/>
        <v>0.48686373233795166</v>
      </c>
      <c r="D122">
        <v>8168218</v>
      </c>
      <c r="E122">
        <f t="shared" si="14"/>
        <v>100024.93284908768</v>
      </c>
      <c r="F122">
        <f t="shared" si="10"/>
        <v>70.861175330735065</v>
      </c>
      <c r="G122">
        <f t="shared" si="11"/>
        <v>-159.0626988518693</v>
      </c>
      <c r="H122">
        <f t="shared" si="12"/>
        <v>28.664429287600797</v>
      </c>
    </row>
    <row r="123" spans="2:8">
      <c r="B123" s="2">
        <f t="shared" si="8"/>
        <v>6.6697597503662109E-5</v>
      </c>
      <c r="C123" s="2">
        <f t="shared" si="9"/>
        <v>0.4868195652961731</v>
      </c>
      <c r="D123">
        <v>8167477</v>
      </c>
      <c r="E123">
        <f t="shared" si="14"/>
        <v>100013.51331032312</v>
      </c>
      <c r="F123">
        <f t="shared" si="10"/>
        <v>71.789219189670831</v>
      </c>
      <c r="G123">
        <f t="shared" si="11"/>
        <v>-66.25831295829272</v>
      </c>
      <c r="H123">
        <f t="shared" si="12"/>
        <v>17.244890523041249</v>
      </c>
    </row>
    <row r="124" spans="2:8">
      <c r="B124" s="2">
        <f t="shared" si="8"/>
        <v>5.9008598327636719E-5</v>
      </c>
      <c r="C124" s="2">
        <f t="shared" si="9"/>
        <v>0.48681187629699707</v>
      </c>
      <c r="D124">
        <v>8167348</v>
      </c>
      <c r="E124">
        <f t="shared" si="14"/>
        <v>100011.52529345316</v>
      </c>
      <c r="F124">
        <f t="shared" si="10"/>
        <v>71.95079024967184</v>
      </c>
      <c r="G124">
        <f t="shared" si="11"/>
        <v>-50.101206958191824</v>
      </c>
      <c r="H124">
        <f t="shared" si="12"/>
        <v>15.256873653081129</v>
      </c>
    </row>
    <row r="125" spans="2:8">
      <c r="B125" s="2">
        <f t="shared" si="8"/>
        <v>3.7252902984619141E-5</v>
      </c>
      <c r="C125" s="2">
        <f t="shared" si="9"/>
        <v>0.48679012060165405</v>
      </c>
      <c r="D125">
        <v>8166983</v>
      </c>
      <c r="E125">
        <f t="shared" si="14"/>
        <v>100005.90028448006</v>
      </c>
      <c r="F125">
        <f t="shared" si="10"/>
        <v>72.407962764860571</v>
      </c>
      <c r="G125">
        <f t="shared" si="11"/>
        <v>-4.3839554393187541</v>
      </c>
      <c r="H125">
        <f t="shared" si="12"/>
        <v>9.6318646799772978</v>
      </c>
    </row>
    <row r="126" spans="2:8">
      <c r="B126" s="2">
        <f t="shared" si="8"/>
        <v>8.6426734924316406E-5</v>
      </c>
      <c r="C126" s="2">
        <f t="shared" si="9"/>
        <v>0.48683929443359375</v>
      </c>
      <c r="D126">
        <v>8167808</v>
      </c>
      <c r="E126">
        <f t="shared" si="14"/>
        <v>100018.61434585764</v>
      </c>
      <c r="F126">
        <f t="shared" si="10"/>
        <v>71.374657281409966</v>
      </c>
      <c r="G126">
        <f t="shared" si="11"/>
        <v>-107.71450378437919</v>
      </c>
      <c r="H126">
        <f t="shared" si="12"/>
        <v>22.345926057561883</v>
      </c>
    </row>
    <row r="127" spans="2:8">
      <c r="B127" s="2">
        <f t="shared" si="8"/>
        <v>6.5445899963378906E-5</v>
      </c>
      <c r="C127" s="2">
        <f t="shared" si="9"/>
        <v>0.48681831359863281</v>
      </c>
      <c r="D127">
        <v>8167456</v>
      </c>
      <c r="E127">
        <f t="shared" si="14"/>
        <v>100013.18967966986</v>
      </c>
      <c r="F127">
        <f t="shared" si="10"/>
        <v>71.815521278037167</v>
      </c>
      <c r="G127">
        <f t="shared" si="11"/>
        <v>-63.628104121659135</v>
      </c>
      <c r="H127">
        <f t="shared" si="12"/>
        <v>16.921259869777714</v>
      </c>
    </row>
    <row r="128" spans="2:8">
      <c r="B128" s="2">
        <f t="shared" si="8"/>
        <v>5.1558017730712891E-5</v>
      </c>
      <c r="C128" s="2">
        <f t="shared" si="9"/>
        <v>0.48680442571640015</v>
      </c>
      <c r="D128">
        <v>8167223</v>
      </c>
      <c r="E128">
        <f t="shared" si="14"/>
        <v>100009.59892051716</v>
      </c>
      <c r="F128">
        <f t="shared" si="10"/>
        <v>72.107353835241895</v>
      </c>
      <c r="G128">
        <f t="shared" si="11"/>
        <v>-34.444848401186334</v>
      </c>
      <c r="H128">
        <f t="shared" si="12"/>
        <v>13.33050071708567</v>
      </c>
    </row>
    <row r="129" spans="2:8">
      <c r="B129" s="2">
        <f t="shared" si="8"/>
        <v>1.0281801223754883E-4</v>
      </c>
      <c r="C129" s="2">
        <f t="shared" si="9"/>
        <v>0.48685568571090698</v>
      </c>
      <c r="D129">
        <v>8168083</v>
      </c>
      <c r="E129">
        <f>((D129-$N$8)*($N$10-$N$9))/($N$7-$N$8)+$N$9</f>
        <v>100022.85236631682</v>
      </c>
      <c r="F129">
        <f t="shared" si="10"/>
        <v>71.030245755589235</v>
      </c>
      <c r="G129">
        <f t="shared" si="11"/>
        <v>-142.15565636645238</v>
      </c>
      <c r="H129">
        <f t="shared" si="12"/>
        <v>26.583946516737342</v>
      </c>
    </row>
    <row r="130" spans="2:8">
      <c r="B130" s="2">
        <f t="shared" si="8"/>
        <v>6.5445899963378906E-5</v>
      </c>
      <c r="C130" s="2">
        <f t="shared" si="9"/>
        <v>0.48681831359863281</v>
      </c>
      <c r="D130">
        <v>8167456</v>
      </c>
      <c r="E130">
        <f>((D130-$N$8)*($N$10-$N$9))/($N$7-$N$8)+$N$9</f>
        <v>100013.18967966986</v>
      </c>
      <c r="F130">
        <f t="shared" si="10"/>
        <v>71.815521278037167</v>
      </c>
      <c r="G130">
        <f t="shared" si="11"/>
        <v>-63.628104121659135</v>
      </c>
      <c r="H130">
        <f t="shared" si="12"/>
        <v>16.921259869777714</v>
      </c>
    </row>
    <row r="131" spans="2:8">
      <c r="B131" s="2">
        <f t="shared" si="8"/>
        <v>8.6963176727294922E-5</v>
      </c>
      <c r="C131" s="2">
        <f t="shared" si="9"/>
        <v>0.48683983087539673</v>
      </c>
      <c r="D131">
        <v>8167817</v>
      </c>
      <c r="E131">
        <f t="shared" ref="E131:E134" si="15">((D131-$N$8)*($N$10-$N$9))/($N$7-$N$8)+$N$9</f>
        <v>100018.75304470902</v>
      </c>
      <c r="F131">
        <f t="shared" si="10"/>
        <v>71.363385444438094</v>
      </c>
      <c r="G131">
        <f t="shared" si="11"/>
        <v>-108.8416874815664</v>
      </c>
      <c r="H131">
        <f t="shared" si="12"/>
        <v>22.484624908945989</v>
      </c>
    </row>
    <row r="132" spans="2:8">
      <c r="B132" s="2">
        <f t="shared" si="8"/>
        <v>5.7399272918701172E-5</v>
      </c>
      <c r="C132" s="2">
        <f t="shared" si="9"/>
        <v>0.48681026697158813</v>
      </c>
      <c r="D132">
        <v>8167321</v>
      </c>
      <c r="E132">
        <f t="shared" si="15"/>
        <v>100011.10919689899</v>
      </c>
      <c r="F132">
        <f t="shared" si="10"/>
        <v>71.984607777397002</v>
      </c>
      <c r="G132">
        <f t="shared" si="11"/>
        <v>-46.719454185675602</v>
      </c>
      <c r="H132">
        <f t="shared" si="12"/>
        <v>14.840777098914259</v>
      </c>
    </row>
    <row r="133" spans="2:8">
      <c r="B133" s="2">
        <f t="shared" ref="B133:B196" si="16">C133-$A$4</f>
        <v>3.4332275390625E-5</v>
      </c>
      <c r="C133" s="2">
        <f t="shared" ref="C133:C196" si="17">D133/2^24</f>
        <v>0.48678719997406006</v>
      </c>
      <c r="D133">
        <v>8166934</v>
      </c>
      <c r="E133">
        <f t="shared" si="15"/>
        <v>100005.14514628916</v>
      </c>
      <c r="F133">
        <f t="shared" ref="F133:F196" si="18">$S$7 + ($S$9/$S$10)*((E133/$S$11)^(-$S$8*$S$10/($S$5*$S$6)) - 1)</f>
        <v>72.469338194617336</v>
      </c>
      <c r="G133">
        <f t="shared" ref="G133:G196" si="19">(F133-$I$4)*100</f>
        <v>1.7535875363577702</v>
      </c>
      <c r="H133">
        <f t="shared" ref="H133:H196" si="20">E133-$J$4</f>
        <v>8.876726489077555</v>
      </c>
    </row>
    <row r="134" spans="2:8">
      <c r="B134" s="2">
        <f t="shared" si="16"/>
        <v>6.961822509765625E-5</v>
      </c>
      <c r="C134" s="2">
        <f t="shared" si="17"/>
        <v>0.48682248592376709</v>
      </c>
      <c r="D134">
        <v>8167526</v>
      </c>
      <c r="E134">
        <f t="shared" si="15"/>
        <v>100014.26844851402</v>
      </c>
      <c r="F134">
        <f t="shared" si="18"/>
        <v>71.727847918163505</v>
      </c>
      <c r="G134">
        <f t="shared" si="19"/>
        <v>-72.395440109025344</v>
      </c>
      <c r="H134">
        <f t="shared" si="20"/>
        <v>18.000028713940992</v>
      </c>
    </row>
    <row r="135" spans="2:8">
      <c r="B135" s="2">
        <f t="shared" si="16"/>
        <v>8.9883804321289063E-5</v>
      </c>
      <c r="C135" s="2">
        <f t="shared" si="17"/>
        <v>0.48684275150299072</v>
      </c>
      <c r="D135">
        <v>8167866</v>
      </c>
      <c r="E135">
        <f>((D135-$N$8)*($N$10-$N$9))/($N$7-$N$8)+$N$9</f>
        <v>100019.50818289992</v>
      </c>
      <c r="F135">
        <f t="shared" si="18"/>
        <v>71.302016776295986</v>
      </c>
      <c r="G135">
        <f t="shared" si="19"/>
        <v>-114.97855429577726</v>
      </c>
      <c r="H135">
        <f t="shared" si="20"/>
        <v>23.239763099845732</v>
      </c>
    </row>
    <row r="136" spans="2:8">
      <c r="B136" s="2">
        <f t="shared" si="16"/>
        <v>2.4139881134033203E-5</v>
      </c>
      <c r="C136" s="2">
        <f t="shared" si="17"/>
        <v>0.48677700757980347</v>
      </c>
      <c r="D136">
        <v>8166763</v>
      </c>
      <c r="E136">
        <f>((D136-$N$8)*($N$10-$N$9))/($N$7-$N$8)+$N$9</f>
        <v>100002.5098681127</v>
      </c>
      <c r="F136">
        <f t="shared" si="18"/>
        <v>72.683528858836297</v>
      </c>
      <c r="G136">
        <f t="shared" si="19"/>
        <v>23.172653958253875</v>
      </c>
      <c r="H136">
        <f t="shared" si="20"/>
        <v>6.2414483126194682</v>
      </c>
    </row>
    <row r="137" spans="2:8">
      <c r="B137" s="2">
        <f t="shared" si="16"/>
        <v>2.5689601898193359E-5</v>
      </c>
      <c r="C137" s="2">
        <f t="shared" si="17"/>
        <v>0.48677855730056763</v>
      </c>
      <c r="D137">
        <v>8166789</v>
      </c>
      <c r="E137">
        <f t="shared" ref="E137:E169" si="21">((D137-$N$8)*($N$10-$N$9))/($N$7-$N$8)+$N$9</f>
        <v>100002.9105536834</v>
      </c>
      <c r="F137">
        <f t="shared" si="18"/>
        <v>72.650961562629831</v>
      </c>
      <c r="G137">
        <f t="shared" si="19"/>
        <v>19.915924337607294</v>
      </c>
      <c r="H137">
        <f t="shared" si="20"/>
        <v>6.6421338833170012</v>
      </c>
    </row>
    <row r="138" spans="2:8">
      <c r="B138" s="2">
        <f t="shared" si="16"/>
        <v>4.0709972381591797E-5</v>
      </c>
      <c r="C138" s="2">
        <f t="shared" si="17"/>
        <v>0.48679357767105103</v>
      </c>
      <c r="D138">
        <v>8167041</v>
      </c>
      <c r="E138">
        <f t="shared" si="21"/>
        <v>100006.79412152235</v>
      </c>
      <c r="F138">
        <f t="shared" si="18"/>
        <v>72.335314781971675</v>
      </c>
      <c r="G138">
        <f t="shared" si="19"/>
        <v>-11.648753728208305</v>
      </c>
      <c r="H138">
        <f t="shared" si="20"/>
        <v>10.525701722275699</v>
      </c>
    </row>
    <row r="139" spans="2:8">
      <c r="B139" s="2">
        <f t="shared" si="16"/>
        <v>7.8082084655761719E-5</v>
      </c>
      <c r="C139" s="2">
        <f t="shared" si="17"/>
        <v>0.4868309497833252</v>
      </c>
      <c r="D139">
        <v>8167668</v>
      </c>
      <c r="E139">
        <f t="shared" si="21"/>
        <v>100016.45680816931</v>
      </c>
      <c r="F139">
        <f t="shared" si="18"/>
        <v>71.5499985974498</v>
      </c>
      <c r="G139">
        <f t="shared" si="19"/>
        <v>-90.180372180395807</v>
      </c>
      <c r="H139">
        <f t="shared" si="20"/>
        <v>20.188388369235327</v>
      </c>
    </row>
    <row r="140" spans="2:8">
      <c r="B140" s="2">
        <f t="shared" si="16"/>
        <v>4.3511390686035156E-5</v>
      </c>
      <c r="C140" s="2">
        <f t="shared" si="17"/>
        <v>0.48679637908935547</v>
      </c>
      <c r="D140">
        <v>8167088</v>
      </c>
      <c r="E140">
        <f t="shared" si="21"/>
        <v>100007.51843774629</v>
      </c>
      <c r="F140">
        <f t="shared" si="18"/>
        <v>72.276445250453506</v>
      </c>
      <c r="G140">
        <f t="shared" si="19"/>
        <v>-17.535706880025259</v>
      </c>
      <c r="H140">
        <f t="shared" si="20"/>
        <v>11.250017946207663</v>
      </c>
    </row>
    <row r="141" spans="2:8">
      <c r="B141" s="2">
        <f t="shared" si="16"/>
        <v>6.7412853240966797E-5</v>
      </c>
      <c r="C141" s="2">
        <f t="shared" si="17"/>
        <v>0.4868202805519104</v>
      </c>
      <c r="D141">
        <v>8167489</v>
      </c>
      <c r="E141">
        <f t="shared" si="21"/>
        <v>100013.69824212497</v>
      </c>
      <c r="F141">
        <f t="shared" si="18"/>
        <v>71.774189455834716</v>
      </c>
      <c r="G141">
        <f t="shared" si="19"/>
        <v>-67.761286341904281</v>
      </c>
      <c r="H141">
        <f t="shared" si="20"/>
        <v>17.429822324891575</v>
      </c>
    </row>
    <row r="142" spans="2:8">
      <c r="B142" s="2">
        <f t="shared" si="16"/>
        <v>5.6385993957519531E-5</v>
      </c>
      <c r="C142" s="2">
        <f t="shared" si="17"/>
        <v>0.48680925369262695</v>
      </c>
      <c r="D142">
        <v>8167304</v>
      </c>
      <c r="E142">
        <f t="shared" si="21"/>
        <v>100010.84721017968</v>
      </c>
      <c r="F142">
        <f t="shared" si="18"/>
        <v>72.005900353300561</v>
      </c>
      <c r="G142">
        <f t="shared" si="19"/>
        <v>-44.590196595319753</v>
      </c>
      <c r="H142">
        <f t="shared" si="20"/>
        <v>14.578790379600832</v>
      </c>
    </row>
    <row r="143" spans="2:8">
      <c r="B143" s="2">
        <f t="shared" si="16"/>
        <v>7.6949596405029297E-5</v>
      </c>
      <c r="C143" s="2">
        <f t="shared" si="17"/>
        <v>0.48682981729507446</v>
      </c>
      <c r="D143">
        <v>8167649</v>
      </c>
      <c r="E143">
        <f t="shared" si="21"/>
        <v>100016.16399948305</v>
      </c>
      <c r="F143">
        <f t="shared" si="18"/>
        <v>71.573795154945671</v>
      </c>
      <c r="G143">
        <f t="shared" si="19"/>
        <v>-87.800716430808734</v>
      </c>
      <c r="H143">
        <f t="shared" si="20"/>
        <v>19.895579682968673</v>
      </c>
    </row>
    <row r="144" spans="2:8">
      <c r="B144" s="2">
        <f t="shared" si="16"/>
        <v>6.4611434936523438E-5</v>
      </c>
      <c r="C144" s="2">
        <f t="shared" si="17"/>
        <v>0.48681747913360596</v>
      </c>
      <c r="D144">
        <v>8167442</v>
      </c>
      <c r="E144">
        <f t="shared" si="21"/>
        <v>100012.97392590104</v>
      </c>
      <c r="F144">
        <f t="shared" si="18"/>
        <v>71.83305604189907</v>
      </c>
      <c r="G144">
        <f t="shared" si="19"/>
        <v>-61.874627735468835</v>
      </c>
      <c r="H144">
        <f t="shared" si="20"/>
        <v>16.70550610095961</v>
      </c>
    </row>
    <row r="145" spans="2:8">
      <c r="B145" s="2">
        <f t="shared" si="16"/>
        <v>2.0682811737060547E-5</v>
      </c>
      <c r="C145" s="2">
        <f t="shared" si="17"/>
        <v>0.48677355051040649</v>
      </c>
      <c r="D145">
        <v>8166705</v>
      </c>
      <c r="E145">
        <f t="shared" si="21"/>
        <v>100001.6160310704</v>
      </c>
      <c r="F145">
        <f t="shared" si="18"/>
        <v>72.756179361902142</v>
      </c>
      <c r="G145">
        <f t="shared" si="19"/>
        <v>30.437704264838317</v>
      </c>
      <c r="H145">
        <f t="shared" si="20"/>
        <v>5.3476112703210674</v>
      </c>
    </row>
    <row r="146" spans="2:8">
      <c r="B146" s="2">
        <f t="shared" si="16"/>
        <v>8.2254409790039063E-5</v>
      </c>
      <c r="C146" s="2">
        <f t="shared" si="17"/>
        <v>0.48683512210845947</v>
      </c>
      <c r="D146">
        <v>8167738</v>
      </c>
      <c r="E146">
        <f t="shared" si="21"/>
        <v>100017.53557701348</v>
      </c>
      <c r="F146">
        <f t="shared" si="18"/>
        <v>71.462327556585691</v>
      </c>
      <c r="G146">
        <f t="shared" si="19"/>
        <v>-98.947476266806689</v>
      </c>
      <c r="H146">
        <f t="shared" si="20"/>
        <v>21.267157213398605</v>
      </c>
    </row>
    <row r="147" spans="2:8">
      <c r="B147" s="2">
        <f t="shared" si="16"/>
        <v>8.6128711700439453E-5</v>
      </c>
      <c r="C147" s="2">
        <f t="shared" si="17"/>
        <v>0.48683899641036987</v>
      </c>
      <c r="D147">
        <v>8167803</v>
      </c>
      <c r="E147">
        <f t="shared" si="21"/>
        <v>100018.53729094018</v>
      </c>
      <c r="F147">
        <f t="shared" si="18"/>
        <v>71.380919418529302</v>
      </c>
      <c r="G147">
        <f t="shared" si="19"/>
        <v>-107.0882900724456</v>
      </c>
      <c r="H147">
        <f t="shared" si="20"/>
        <v>22.268871140098781</v>
      </c>
    </row>
    <row r="148" spans="2:8">
      <c r="B148" s="2">
        <f t="shared" si="16"/>
        <v>4.9173831939697266E-5</v>
      </c>
      <c r="C148" s="2">
        <f t="shared" si="17"/>
        <v>0.48680204153060913</v>
      </c>
      <c r="D148">
        <v>8167183</v>
      </c>
      <c r="E148">
        <f t="shared" si="21"/>
        <v>100008.98248117766</v>
      </c>
      <c r="F148">
        <f t="shared" si="18"/>
        <v>72.157454698358876</v>
      </c>
      <c r="G148">
        <f t="shared" si="19"/>
        <v>-29.434762089488231</v>
      </c>
      <c r="H148">
        <f t="shared" si="20"/>
        <v>12.714061377584585</v>
      </c>
    </row>
    <row r="149" spans="2:8">
      <c r="B149" s="2">
        <f t="shared" si="16"/>
        <v>6.1273574829101563E-5</v>
      </c>
      <c r="C149" s="2">
        <f t="shared" si="17"/>
        <v>0.48681414127349854</v>
      </c>
      <c r="D149">
        <v>8167386</v>
      </c>
      <c r="E149">
        <f t="shared" si="21"/>
        <v>100012.11091082569</v>
      </c>
      <c r="F149">
        <f t="shared" si="18"/>
        <v>71.903195403656241</v>
      </c>
      <c r="G149">
        <f t="shared" si="19"/>
        <v>-54.860691559751729</v>
      </c>
      <c r="H149">
        <f t="shared" si="20"/>
        <v>15.842491025614436</v>
      </c>
    </row>
    <row r="150" spans="2:8">
      <c r="B150" s="2">
        <f t="shared" si="16"/>
        <v>6.4730644226074219E-5</v>
      </c>
      <c r="C150" s="2">
        <f t="shared" si="17"/>
        <v>0.48681759834289551</v>
      </c>
      <c r="D150">
        <v>8167444</v>
      </c>
      <c r="E150">
        <f t="shared" si="21"/>
        <v>100013.00474786801</v>
      </c>
      <c r="F150">
        <f t="shared" si="18"/>
        <v>71.830551073758514</v>
      </c>
      <c r="G150">
        <f t="shared" si="19"/>
        <v>-62.125124549524458</v>
      </c>
      <c r="H150">
        <f t="shared" si="20"/>
        <v>16.736328067927388</v>
      </c>
    </row>
    <row r="151" spans="2:8">
      <c r="B151" s="2">
        <f t="shared" si="16"/>
        <v>3.2246112823486328E-5</v>
      </c>
      <c r="C151" s="2">
        <f t="shared" si="17"/>
        <v>0.48678511381149292</v>
      </c>
      <c r="D151">
        <v>8166899</v>
      </c>
      <c r="E151">
        <f t="shared" si="21"/>
        <v>100004.60576186707</v>
      </c>
      <c r="F151">
        <f t="shared" si="18"/>
        <v>72.513178017051587</v>
      </c>
      <c r="G151">
        <f t="shared" si="19"/>
        <v>6.1375697797828366</v>
      </c>
      <c r="H151">
        <f t="shared" si="20"/>
        <v>8.337342066995916</v>
      </c>
    </row>
    <row r="152" spans="2:8">
      <c r="B152" s="2">
        <f t="shared" si="16"/>
        <v>3.4332275390625E-5</v>
      </c>
      <c r="C152" s="2">
        <f t="shared" si="17"/>
        <v>0.48678719997406006</v>
      </c>
      <c r="D152">
        <v>8166934</v>
      </c>
      <c r="E152">
        <f t="shared" si="21"/>
        <v>100005.14514628916</v>
      </c>
      <c r="F152">
        <f t="shared" si="18"/>
        <v>72.469338194617336</v>
      </c>
      <c r="G152">
        <f t="shared" si="19"/>
        <v>1.7535875363577702</v>
      </c>
      <c r="H152">
        <f t="shared" si="20"/>
        <v>8.876726489077555</v>
      </c>
    </row>
    <row r="153" spans="2:8">
      <c r="B153" s="2">
        <f t="shared" si="16"/>
        <v>3.4987926483154297E-5</v>
      </c>
      <c r="C153" s="2">
        <f t="shared" si="17"/>
        <v>0.48678785562515259</v>
      </c>
      <c r="D153">
        <v>8166945</v>
      </c>
      <c r="E153">
        <f t="shared" si="21"/>
        <v>100005.31466710752</v>
      </c>
      <c r="F153">
        <f t="shared" si="18"/>
        <v>72.455560004251595</v>
      </c>
      <c r="G153">
        <f t="shared" si="19"/>
        <v>0.37576849978364635</v>
      </c>
      <c r="H153">
        <f t="shared" si="20"/>
        <v>9.0462473074439913</v>
      </c>
    </row>
    <row r="154" spans="2:8">
      <c r="B154" s="2">
        <f t="shared" si="16"/>
        <v>2.6106834411621094E-5</v>
      </c>
      <c r="C154" s="2">
        <f t="shared" si="17"/>
        <v>0.48677897453308105</v>
      </c>
      <c r="D154">
        <v>8166796</v>
      </c>
      <c r="E154">
        <f t="shared" si="21"/>
        <v>100003.0184305678</v>
      </c>
      <c r="F154">
        <f t="shared" si="18"/>
        <v>72.642193462479113</v>
      </c>
      <c r="G154">
        <f t="shared" si="19"/>
        <v>19.039114322535511</v>
      </c>
      <c r="H154">
        <f t="shared" si="20"/>
        <v>6.7500107677187771</v>
      </c>
    </row>
    <row r="155" spans="2:8">
      <c r="B155" s="2">
        <f t="shared" si="16"/>
        <v>8.2373619079589844E-5</v>
      </c>
      <c r="C155" s="2">
        <f t="shared" si="17"/>
        <v>0.48683524131774902</v>
      </c>
      <c r="D155">
        <v>8167740</v>
      </c>
      <c r="E155">
        <f t="shared" si="21"/>
        <v>100017.56639898045</v>
      </c>
      <c r="F155">
        <f t="shared" si="18"/>
        <v>71.459822680954673</v>
      </c>
      <c r="G155">
        <f t="shared" si="19"/>
        <v>-99.197963829908531</v>
      </c>
      <c r="H155">
        <f t="shared" si="20"/>
        <v>21.297979180366383</v>
      </c>
    </row>
    <row r="156" spans="2:8">
      <c r="B156" s="2">
        <f t="shared" si="16"/>
        <v>8.5294246673583984E-5</v>
      </c>
      <c r="C156" s="2">
        <f t="shared" si="17"/>
        <v>0.48683816194534302</v>
      </c>
      <c r="D156">
        <v>8167789</v>
      </c>
      <c r="E156">
        <f t="shared" si="21"/>
        <v>100018.32153717136</v>
      </c>
      <c r="F156">
        <f t="shared" si="18"/>
        <v>71.398453423249549</v>
      </c>
      <c r="G156">
        <f t="shared" si="19"/>
        <v>-105.33488960042092</v>
      </c>
      <c r="H156">
        <f t="shared" si="20"/>
        <v>22.053117371280678</v>
      </c>
    </row>
    <row r="157" spans="2:8">
      <c r="B157" s="2">
        <f t="shared" si="16"/>
        <v>6.5565109252929688E-5</v>
      </c>
      <c r="C157" s="2">
        <f t="shared" si="17"/>
        <v>0.48681843280792236</v>
      </c>
      <c r="D157">
        <v>8167458</v>
      </c>
      <c r="E157">
        <f t="shared" si="21"/>
        <v>100013.22050163684</v>
      </c>
      <c r="F157">
        <f t="shared" si="18"/>
        <v>71.81301631427219</v>
      </c>
      <c r="G157">
        <f t="shared" si="19"/>
        <v>-63.878600498156857</v>
      </c>
      <c r="H157">
        <f t="shared" si="20"/>
        <v>16.952081836760044</v>
      </c>
    </row>
    <row r="158" spans="2:8">
      <c r="B158" s="2">
        <f t="shared" si="16"/>
        <v>3.1113624572753906E-5</v>
      </c>
      <c r="C158" s="2">
        <f t="shared" si="17"/>
        <v>0.48678398132324219</v>
      </c>
      <c r="D158">
        <v>8166880</v>
      </c>
      <c r="E158">
        <f t="shared" si="21"/>
        <v>100004.31295318079</v>
      </c>
      <c r="F158">
        <f t="shared" si="18"/>
        <v>72.536976857987028</v>
      </c>
      <c r="G158">
        <f t="shared" si="19"/>
        <v>8.5174538733269856</v>
      </c>
      <c r="H158">
        <f t="shared" si="20"/>
        <v>8.0445333807147108</v>
      </c>
    </row>
    <row r="159" spans="2:8">
      <c r="B159" s="2">
        <f t="shared" si="16"/>
        <v>3.5166740417480469E-5</v>
      </c>
      <c r="C159" s="2">
        <f t="shared" si="17"/>
        <v>0.48678803443908691</v>
      </c>
      <c r="D159">
        <v>8166948</v>
      </c>
      <c r="E159">
        <f t="shared" si="21"/>
        <v>100005.36090005797</v>
      </c>
      <c r="F159">
        <f t="shared" si="18"/>
        <v>72.451802319253758</v>
      </c>
      <c r="G159">
        <f t="shared" si="19"/>
        <v>0</v>
      </c>
      <c r="H159">
        <f t="shared" si="20"/>
        <v>9.0924802578956587</v>
      </c>
    </row>
    <row r="160" spans="2:8">
      <c r="B160" s="2">
        <f t="shared" si="16"/>
        <v>2.4974346160888672E-5</v>
      </c>
      <c r="C160" s="2">
        <f t="shared" si="17"/>
        <v>0.48677784204483032</v>
      </c>
      <c r="D160">
        <v>8166777</v>
      </c>
      <c r="E160">
        <f t="shared" si="21"/>
        <v>100002.72562188155</v>
      </c>
      <c r="F160">
        <f t="shared" si="18"/>
        <v>72.665992609287045</v>
      </c>
      <c r="G160">
        <f t="shared" si="19"/>
        <v>21.41902900332866</v>
      </c>
      <c r="H160">
        <f t="shared" si="20"/>
        <v>6.4572020814666757</v>
      </c>
    </row>
    <row r="161" spans="2:8">
      <c r="B161" s="2">
        <f t="shared" si="16"/>
        <v>3.6001205444335938E-5</v>
      </c>
      <c r="C161" s="2">
        <f t="shared" si="17"/>
        <v>0.48678886890411377</v>
      </c>
      <c r="D161">
        <v>8166962</v>
      </c>
      <c r="E161">
        <f t="shared" si="21"/>
        <v>100005.57665382681</v>
      </c>
      <c r="F161">
        <f t="shared" si="18"/>
        <v>72.43426647451922</v>
      </c>
      <c r="G161">
        <f t="shared" si="19"/>
        <v>-1.7535844734538841</v>
      </c>
      <c r="H161">
        <f t="shared" si="20"/>
        <v>9.3082340267283143</v>
      </c>
    </row>
    <row r="162" spans="2:8">
      <c r="B162" s="2">
        <f t="shared" si="16"/>
        <v>5.3226947784423828E-5</v>
      </c>
      <c r="C162" s="2">
        <f t="shared" si="17"/>
        <v>0.48680609464645386</v>
      </c>
      <c r="D162">
        <v>8167251</v>
      </c>
      <c r="E162">
        <f t="shared" si="21"/>
        <v>100010.03042805483</v>
      </c>
      <c r="F162">
        <f t="shared" si="18"/>
        <v>72.072283379843</v>
      </c>
      <c r="G162">
        <f t="shared" si="19"/>
        <v>-37.951893941075809</v>
      </c>
      <c r="H162">
        <f t="shared" si="20"/>
        <v>13.762008254750981</v>
      </c>
    </row>
    <row r="163" spans="2:8">
      <c r="B163" s="2">
        <f t="shared" si="16"/>
        <v>2.4318695068359375E-5</v>
      </c>
      <c r="C163" s="2">
        <f t="shared" si="17"/>
        <v>0.48677718639373779</v>
      </c>
      <c r="D163">
        <v>8166766</v>
      </c>
      <c r="E163">
        <f t="shared" si="21"/>
        <v>100002.55610106316</v>
      </c>
      <c r="F163">
        <f t="shared" si="18"/>
        <v>72.679771088498043</v>
      </c>
      <c r="G163">
        <f t="shared" si="19"/>
        <v>22.796876924428489</v>
      </c>
      <c r="H163">
        <f t="shared" si="20"/>
        <v>6.2876812630856875</v>
      </c>
    </row>
    <row r="164" spans="2:8">
      <c r="B164" s="2">
        <f t="shared" si="16"/>
        <v>3.2365322113037109E-5</v>
      </c>
      <c r="C164" s="2">
        <f t="shared" si="17"/>
        <v>0.48678523302078247</v>
      </c>
      <c r="D164">
        <v>8166901</v>
      </c>
      <c r="E164">
        <f t="shared" si="21"/>
        <v>100004.63658383404</v>
      </c>
      <c r="F164">
        <f t="shared" si="18"/>
        <v>72.510672879185108</v>
      </c>
      <c r="G164">
        <f t="shared" si="19"/>
        <v>5.8870559931349931</v>
      </c>
      <c r="H164">
        <f t="shared" si="20"/>
        <v>8.3681640339636942</v>
      </c>
    </row>
    <row r="165" spans="2:8">
      <c r="B165" s="2">
        <f t="shared" si="16"/>
        <v>1.8060207366943359E-5</v>
      </c>
      <c r="C165" s="2">
        <f t="shared" si="17"/>
        <v>0.48677092790603638</v>
      </c>
      <c r="D165">
        <v>8166661</v>
      </c>
      <c r="E165">
        <f t="shared" si="21"/>
        <v>100000.93794779693</v>
      </c>
      <c r="F165">
        <f t="shared" si="18"/>
        <v>72.811293887388771</v>
      </c>
      <c r="G165">
        <f t="shared" si="19"/>
        <v>35.949156813501304</v>
      </c>
      <c r="H165">
        <f t="shared" si="20"/>
        <v>4.6695279968553223</v>
      </c>
    </row>
    <row r="166" spans="2:8">
      <c r="B166" s="2">
        <f t="shared" si="16"/>
        <v>4.9293041229248047E-5</v>
      </c>
      <c r="C166" s="2">
        <f t="shared" si="17"/>
        <v>0.48680216073989868</v>
      </c>
      <c r="D166">
        <v>8167185</v>
      </c>
      <c r="E166">
        <f t="shared" si="21"/>
        <v>100009.01330314463</v>
      </c>
      <c r="F166">
        <f t="shared" si="18"/>
        <v>72.154949649262974</v>
      </c>
      <c r="G166">
        <f t="shared" si="19"/>
        <v>-29.685266999078408</v>
      </c>
      <c r="H166">
        <f t="shared" si="20"/>
        <v>12.744883344552363</v>
      </c>
    </row>
    <row r="167" spans="2:8">
      <c r="B167" s="2">
        <f t="shared" si="16"/>
        <v>3.6835670471191406E-5</v>
      </c>
      <c r="C167" s="2">
        <f t="shared" si="17"/>
        <v>0.48678970336914063</v>
      </c>
      <c r="D167">
        <v>8166976</v>
      </c>
      <c r="E167">
        <f t="shared" si="21"/>
        <v>100005.79240759565</v>
      </c>
      <c r="F167">
        <f t="shared" si="18"/>
        <v>72.416730660423255</v>
      </c>
      <c r="G167">
        <f t="shared" si="19"/>
        <v>-3.5071658830503338</v>
      </c>
      <c r="H167">
        <f t="shared" si="20"/>
        <v>9.5239877955755219</v>
      </c>
    </row>
    <row r="168" spans="2:8">
      <c r="B168" s="2">
        <f t="shared" si="16"/>
        <v>4.4345855712890625E-5</v>
      </c>
      <c r="C168" s="2">
        <f t="shared" si="17"/>
        <v>0.48679721355438232</v>
      </c>
      <c r="D168">
        <v>8167102</v>
      </c>
      <c r="E168">
        <f t="shared" si="21"/>
        <v>100007.73419151513</v>
      </c>
      <c r="F168">
        <f t="shared" si="18"/>
        <v>72.258909712052301</v>
      </c>
      <c r="G168">
        <f t="shared" si="19"/>
        <v>-19.289260720145762</v>
      </c>
      <c r="H168">
        <f t="shared" si="20"/>
        <v>11.465771715054871</v>
      </c>
    </row>
    <row r="169" spans="2:8">
      <c r="B169" s="2">
        <f t="shared" si="16"/>
        <v>2.6106834411621094E-5</v>
      </c>
      <c r="C169" s="2">
        <f t="shared" si="17"/>
        <v>0.48677897453308105</v>
      </c>
      <c r="D169">
        <v>8166796</v>
      </c>
      <c r="E169">
        <f t="shared" si="21"/>
        <v>100003.0184305678</v>
      </c>
      <c r="F169">
        <f t="shared" si="18"/>
        <v>72.642193462479113</v>
      </c>
      <c r="G169">
        <f t="shared" si="19"/>
        <v>19.039114322535511</v>
      </c>
      <c r="H169">
        <f t="shared" si="20"/>
        <v>6.7500107677187771</v>
      </c>
    </row>
    <row r="170" spans="2:8">
      <c r="B170" s="2">
        <f t="shared" si="16"/>
        <v>6.0260295867919922E-5</v>
      </c>
      <c r="C170" s="2">
        <f t="shared" si="17"/>
        <v>0.48681312799453735</v>
      </c>
      <c r="D170">
        <v>8167369</v>
      </c>
      <c r="E170">
        <f>((D170-$N$8)*($N$10-$N$9))/($N$7-$N$8)+$N$9</f>
        <v>100011.84892410641</v>
      </c>
      <c r="F170">
        <f t="shared" si="18"/>
        <v>71.924487806874069</v>
      </c>
      <c r="G170">
        <f t="shared" si="19"/>
        <v>-52.73145123796894</v>
      </c>
      <c r="H170">
        <f t="shared" si="20"/>
        <v>15.580504306330113</v>
      </c>
    </row>
    <row r="171" spans="2:8">
      <c r="B171" s="2">
        <f t="shared" si="16"/>
        <v>6.8485736846923828E-5</v>
      </c>
      <c r="C171" s="2">
        <f t="shared" si="17"/>
        <v>0.48682135343551636</v>
      </c>
      <c r="D171">
        <v>8167507</v>
      </c>
      <c r="E171">
        <f>((D171-$N$8)*($N$10-$N$9))/($N$7-$N$8)+$N$9</f>
        <v>100013.97563982774</v>
      </c>
      <c r="F171">
        <f t="shared" si="18"/>
        <v>71.75164489727328</v>
      </c>
      <c r="G171">
        <f t="shared" si="19"/>
        <v>-70.015742198047803</v>
      </c>
      <c r="H171">
        <f t="shared" si="20"/>
        <v>17.707220027659787</v>
      </c>
    </row>
    <row r="172" spans="2:8">
      <c r="B172" s="2">
        <f t="shared" si="16"/>
        <v>9.5963478088378906E-5</v>
      </c>
      <c r="C172" s="2">
        <f t="shared" si="17"/>
        <v>0.48684883117675781</v>
      </c>
      <c r="D172">
        <v>8167968</v>
      </c>
      <c r="E172">
        <f t="shared" ref="E172" si="22">((D172-$N$8)*($N$10-$N$9))/($N$7-$N$8)+$N$9</f>
        <v>100021.08010321569</v>
      </c>
      <c r="F172">
        <f t="shared" si="18"/>
        <v>71.174270956137946</v>
      </c>
      <c r="G172">
        <f t="shared" si="19"/>
        <v>-127.75313631158127</v>
      </c>
      <c r="H172">
        <f t="shared" si="20"/>
        <v>24.811683415609878</v>
      </c>
    </row>
    <row r="173" spans="2:8">
      <c r="B173" s="2">
        <f t="shared" si="16"/>
        <v>3.3736228942871094E-5</v>
      </c>
      <c r="C173" s="2">
        <f t="shared" si="17"/>
        <v>0.4867866039276123</v>
      </c>
      <c r="D173">
        <v>8166924</v>
      </c>
      <c r="E173">
        <f>((D173-$N$8)*($N$10-$N$9))/($N$7-$N$8)+$N$9</f>
        <v>100004.99103645426</v>
      </c>
      <c r="F173">
        <f t="shared" si="18"/>
        <v>72.481863838630886</v>
      </c>
      <c r="G173">
        <f t="shared" si="19"/>
        <v>3.0061519377127865</v>
      </c>
      <c r="H173">
        <f t="shared" si="20"/>
        <v>8.722616654180456</v>
      </c>
    </row>
    <row r="174" spans="2:8">
      <c r="B174" s="2">
        <f t="shared" si="16"/>
        <v>5.3882598876953125E-5</v>
      </c>
      <c r="C174" s="2">
        <f t="shared" si="17"/>
        <v>0.48680675029754639</v>
      </c>
      <c r="D174">
        <v>8167262</v>
      </c>
      <c r="E174">
        <f>((D174-$N$8)*($N$10-$N$9))/($N$7-$N$8)+$N$9</f>
        <v>100010.1999488732</v>
      </c>
      <c r="F174">
        <f t="shared" si="18"/>
        <v>72.058505734462543</v>
      </c>
      <c r="G174">
        <f t="shared" si="19"/>
        <v>-39.329658479121576</v>
      </c>
      <c r="H174">
        <f t="shared" si="20"/>
        <v>13.931529073117417</v>
      </c>
    </row>
    <row r="175" spans="2:8">
      <c r="B175" s="2">
        <f t="shared" si="16"/>
        <v>4.1842460632324219E-5</v>
      </c>
      <c r="C175" s="2">
        <f t="shared" si="17"/>
        <v>0.48679471015930176</v>
      </c>
      <c r="D175">
        <v>8167060</v>
      </c>
      <c r="E175">
        <f>((D175-$N$8)*($N$10-$N$9))/($N$7-$N$8)+$N$9</f>
        <v>100007.08693020864</v>
      </c>
      <c r="F175">
        <f t="shared" si="18"/>
        <v>72.311516419143103</v>
      </c>
      <c r="G175">
        <f t="shared" si="19"/>
        <v>-14.028590011065489</v>
      </c>
      <c r="H175">
        <f t="shared" si="20"/>
        <v>10.818510408556904</v>
      </c>
    </row>
    <row r="176" spans="2:8">
      <c r="B176" s="2">
        <f t="shared" si="16"/>
        <v>4.1246414184570313E-5</v>
      </c>
      <c r="C176" s="2">
        <f t="shared" si="17"/>
        <v>0.486794114112854</v>
      </c>
      <c r="D176">
        <v>8167050</v>
      </c>
      <c r="E176">
        <f t="shared" ref="E176:E227" si="23">((D176-$N$8)*($N$10-$N$9))/($N$7-$N$8)+$N$9</f>
        <v>100006.93282037374</v>
      </c>
      <c r="F176">
        <f t="shared" si="18"/>
        <v>72.324041866231823</v>
      </c>
      <c r="G176">
        <f t="shared" si="19"/>
        <v>-12.776045302193495</v>
      </c>
      <c r="H176">
        <f t="shared" si="20"/>
        <v>10.664400573659805</v>
      </c>
    </row>
    <row r="177" spans="2:8">
      <c r="B177" s="2">
        <f t="shared" si="16"/>
        <v>4.5895576477050781E-6</v>
      </c>
      <c r="C177" s="2">
        <f t="shared" si="17"/>
        <v>0.48675745725631714</v>
      </c>
      <c r="D177">
        <v>8166435</v>
      </c>
      <c r="E177">
        <f t="shared" si="23"/>
        <v>99997.455065528658</v>
      </c>
      <c r="F177">
        <f t="shared" si="18"/>
        <v>73.094386901003631</v>
      </c>
      <c r="G177">
        <f t="shared" si="19"/>
        <v>64.258458174987254</v>
      </c>
      <c r="H177">
        <f t="shared" si="20"/>
        <v>1.1866457285796059</v>
      </c>
    </row>
    <row r="178" spans="2:8">
      <c r="B178" s="2">
        <f t="shared" si="16"/>
        <v>3.6537647247314453E-5</v>
      </c>
      <c r="C178" s="2">
        <f t="shared" si="17"/>
        <v>0.48678940534591675</v>
      </c>
      <c r="D178">
        <v>8166971</v>
      </c>
      <c r="E178">
        <f t="shared" si="23"/>
        <v>100005.71535267819</v>
      </c>
      <c r="F178">
        <f t="shared" si="18"/>
        <v>72.422993447655813</v>
      </c>
      <c r="G178">
        <f t="shared" si="19"/>
        <v>-2.880887159794554</v>
      </c>
      <c r="H178">
        <f t="shared" si="20"/>
        <v>9.4469328781124204</v>
      </c>
    </row>
    <row r="179" spans="2:8">
      <c r="B179" s="2">
        <f t="shared" si="16"/>
        <v>5.0306320190429688E-5</v>
      </c>
      <c r="C179" s="2">
        <f t="shared" si="17"/>
        <v>0.48680317401885986</v>
      </c>
      <c r="D179">
        <v>8167202</v>
      </c>
      <c r="E179">
        <f t="shared" si="23"/>
        <v>100009.27528986392</v>
      </c>
      <c r="F179">
        <f t="shared" si="18"/>
        <v>72.133656757201237</v>
      </c>
      <c r="G179">
        <f t="shared" si="19"/>
        <v>-31.814556205252131</v>
      </c>
      <c r="H179">
        <f t="shared" si="20"/>
        <v>13.006870063836686</v>
      </c>
    </row>
    <row r="180" spans="2:8">
      <c r="B180" s="2">
        <f t="shared" si="16"/>
        <v>-7.152557373046875E-6</v>
      </c>
      <c r="C180" s="2">
        <f t="shared" si="17"/>
        <v>0.48674571514129639</v>
      </c>
      <c r="D180">
        <v>8166238</v>
      </c>
      <c r="E180">
        <f t="shared" si="23"/>
        <v>99994.419101781532</v>
      </c>
      <c r="F180">
        <f t="shared" si="18"/>
        <v>73.341160333021691</v>
      </c>
      <c r="G180">
        <f t="shared" si="19"/>
        <v>88.935801376793222</v>
      </c>
      <c r="H180">
        <f t="shared" si="20"/>
        <v>-1.84931801854691</v>
      </c>
    </row>
    <row r="181" spans="2:8">
      <c r="B181" s="2">
        <f t="shared" si="16"/>
        <v>2.3722648620605469E-5</v>
      </c>
      <c r="C181" s="2">
        <f t="shared" si="17"/>
        <v>0.48677659034729004</v>
      </c>
      <c r="D181">
        <v>8166756</v>
      </c>
      <c r="E181">
        <f t="shared" si="23"/>
        <v>100002.40199122828</v>
      </c>
      <c r="F181">
        <f t="shared" si="18"/>
        <v>72.692296995098616</v>
      </c>
      <c r="G181">
        <f t="shared" si="19"/>
        <v>24.04946758448574</v>
      </c>
      <c r="H181">
        <f t="shared" si="20"/>
        <v>6.1335714282031404</v>
      </c>
    </row>
    <row r="182" spans="2:8">
      <c r="B182" s="2">
        <f t="shared" si="16"/>
        <v>3.2901763916015625E-5</v>
      </c>
      <c r="C182" s="2">
        <f t="shared" si="17"/>
        <v>0.48678576946258545</v>
      </c>
      <c r="D182">
        <v>8166910</v>
      </c>
      <c r="E182">
        <f t="shared" si="23"/>
        <v>100004.77528268544</v>
      </c>
      <c r="F182">
        <f t="shared" si="18"/>
        <v>72.499399766510919</v>
      </c>
      <c r="G182">
        <f t="shared" si="19"/>
        <v>4.7597447257160752</v>
      </c>
      <c r="H182">
        <f t="shared" si="20"/>
        <v>8.5068628853623522</v>
      </c>
    </row>
    <row r="183" spans="2:8">
      <c r="B183" s="2">
        <f t="shared" si="16"/>
        <v>7.8082084655761719E-5</v>
      </c>
      <c r="C183" s="2">
        <f t="shared" si="17"/>
        <v>0.4868309497833252</v>
      </c>
      <c r="D183">
        <v>8167668</v>
      </c>
      <c r="E183">
        <f t="shared" si="23"/>
        <v>100016.45680816931</v>
      </c>
      <c r="F183">
        <f t="shared" si="18"/>
        <v>71.5499985974498</v>
      </c>
      <c r="G183">
        <f t="shared" si="19"/>
        <v>-90.180372180395807</v>
      </c>
      <c r="H183">
        <f t="shared" si="20"/>
        <v>20.188388369235327</v>
      </c>
    </row>
    <row r="184" spans="2:8">
      <c r="B184" s="2">
        <f t="shared" si="16"/>
        <v>3.0696392059326172E-5</v>
      </c>
      <c r="C184" s="2">
        <f t="shared" si="17"/>
        <v>0.48678356409072876</v>
      </c>
      <c r="D184">
        <v>8166873</v>
      </c>
      <c r="E184">
        <f t="shared" si="23"/>
        <v>100004.20507629638</v>
      </c>
      <c r="F184">
        <f t="shared" si="18"/>
        <v>72.545744866236319</v>
      </c>
      <c r="G184">
        <f t="shared" si="19"/>
        <v>9.3942546982560771</v>
      </c>
      <c r="H184">
        <f t="shared" si="20"/>
        <v>7.936656496298383</v>
      </c>
    </row>
    <row r="185" spans="2:8">
      <c r="B185" s="2">
        <f t="shared" si="16"/>
        <v>5.7518482208251953E-5</v>
      </c>
      <c r="C185" s="2">
        <f t="shared" si="17"/>
        <v>0.48681038618087769</v>
      </c>
      <c r="D185">
        <v>8167323</v>
      </c>
      <c r="E185">
        <f t="shared" si="23"/>
        <v>100011.14001886596</v>
      </c>
      <c r="F185">
        <f t="shared" si="18"/>
        <v>71.982102771434526</v>
      </c>
      <c r="G185">
        <f t="shared" si="19"/>
        <v>-46.969954781923207</v>
      </c>
      <c r="H185">
        <f t="shared" si="20"/>
        <v>14.871599065882037</v>
      </c>
    </row>
    <row r="186" spans="2:8">
      <c r="B186" s="2">
        <f t="shared" si="16"/>
        <v>2.8133392333984375E-5</v>
      </c>
      <c r="C186" s="2">
        <f t="shared" si="17"/>
        <v>0.48678100109100342</v>
      </c>
      <c r="D186">
        <v>8166830</v>
      </c>
      <c r="E186">
        <f t="shared" si="23"/>
        <v>100003.5424040064</v>
      </c>
      <c r="F186">
        <f t="shared" si="18"/>
        <v>72.599605656377122</v>
      </c>
      <c r="G186">
        <f t="shared" si="19"/>
        <v>14.780333712336358</v>
      </c>
      <c r="H186">
        <f t="shared" si="20"/>
        <v>7.273984206316527</v>
      </c>
    </row>
    <row r="187" spans="2:8">
      <c r="B187" s="2">
        <f t="shared" si="16"/>
        <v>2.8789043426513672E-5</v>
      </c>
      <c r="C187" s="2">
        <f t="shared" si="17"/>
        <v>0.48678165674209595</v>
      </c>
      <c r="D187">
        <v>8166841</v>
      </c>
      <c r="E187">
        <f t="shared" si="23"/>
        <v>100003.71192482476</v>
      </c>
      <c r="F187">
        <f t="shared" si="18"/>
        <v>72.585827287201724</v>
      </c>
      <c r="G187">
        <f t="shared" si="19"/>
        <v>13.402496794796548</v>
      </c>
      <c r="H187">
        <f t="shared" si="20"/>
        <v>7.4435050246829633</v>
      </c>
    </row>
    <row r="188" spans="2:8">
      <c r="B188" s="2">
        <f t="shared" si="16"/>
        <v>6.4492225646972656E-5</v>
      </c>
      <c r="C188" s="2">
        <f t="shared" si="17"/>
        <v>0.48681735992431641</v>
      </c>
      <c r="D188">
        <v>8167440</v>
      </c>
      <c r="E188">
        <f t="shared" si="23"/>
        <v>100012.94310393406</v>
      </c>
      <c r="F188">
        <f t="shared" si="18"/>
        <v>71.835561010666751</v>
      </c>
      <c r="G188">
        <f t="shared" si="19"/>
        <v>-61.62413085870071</v>
      </c>
      <c r="H188">
        <f t="shared" si="20"/>
        <v>16.67468413397728</v>
      </c>
    </row>
    <row r="189" spans="2:8">
      <c r="B189" s="2">
        <f t="shared" si="16"/>
        <v>8.3088874816894531E-5</v>
      </c>
      <c r="C189" s="2">
        <f t="shared" si="17"/>
        <v>0.48683595657348633</v>
      </c>
      <c r="D189">
        <v>8167752</v>
      </c>
      <c r="E189">
        <f t="shared" si="23"/>
        <v>100017.7513307823</v>
      </c>
      <c r="F189">
        <f t="shared" si="18"/>
        <v>71.444793440300032</v>
      </c>
      <c r="G189">
        <f t="shared" si="19"/>
        <v>-100.70088789537266</v>
      </c>
      <c r="H189">
        <f t="shared" si="20"/>
        <v>21.482910982216708</v>
      </c>
    </row>
    <row r="190" spans="2:8">
      <c r="B190" s="2">
        <f t="shared" si="16"/>
        <v>5.054473876953125E-5</v>
      </c>
      <c r="C190" s="2">
        <f t="shared" si="17"/>
        <v>0.48680341243743896</v>
      </c>
      <c r="D190">
        <v>8167206</v>
      </c>
      <c r="E190">
        <f t="shared" si="23"/>
        <v>100009.33693379787</v>
      </c>
      <c r="F190">
        <f t="shared" si="18"/>
        <v>72.128646671513806</v>
      </c>
      <c r="G190">
        <f t="shared" si="19"/>
        <v>-32.31556477399522</v>
      </c>
      <c r="H190">
        <f t="shared" si="20"/>
        <v>13.068513997786795</v>
      </c>
    </row>
    <row r="191" spans="2:8">
      <c r="B191" s="2">
        <f t="shared" si="16"/>
        <v>4.4763088226318359E-5</v>
      </c>
      <c r="C191" s="2">
        <f t="shared" si="17"/>
        <v>0.48679763078689575</v>
      </c>
      <c r="D191">
        <v>8167109</v>
      </c>
      <c r="E191">
        <f t="shared" si="23"/>
        <v>100007.84206839955</v>
      </c>
      <c r="F191">
        <f t="shared" si="18"/>
        <v>72.250141954341743</v>
      </c>
      <c r="G191">
        <f t="shared" si="19"/>
        <v>-20.166036491201567</v>
      </c>
      <c r="H191">
        <f t="shared" si="20"/>
        <v>11.573648599471198</v>
      </c>
    </row>
    <row r="192" spans="2:8">
      <c r="B192" s="2">
        <f t="shared" si="16"/>
        <v>7.9452991485595703E-5</v>
      </c>
      <c r="C192" s="2">
        <f t="shared" si="17"/>
        <v>0.48683232069015503</v>
      </c>
      <c r="D192">
        <v>8167691</v>
      </c>
      <c r="E192">
        <f t="shared" si="23"/>
        <v>100016.81126078955</v>
      </c>
      <c r="F192">
        <f t="shared" si="18"/>
        <v>71.521192313847905</v>
      </c>
      <c r="G192">
        <f t="shared" si="19"/>
        <v>-93.061000540585326</v>
      </c>
      <c r="H192">
        <f t="shared" si="20"/>
        <v>20.54284098946664</v>
      </c>
    </row>
    <row r="193" spans="2:8">
      <c r="B193" s="2">
        <f t="shared" si="16"/>
        <v>2.8491020202636719E-5</v>
      </c>
      <c r="C193" s="2">
        <f t="shared" si="17"/>
        <v>0.48678135871887207</v>
      </c>
      <c r="D193">
        <v>8166836</v>
      </c>
      <c r="E193">
        <f t="shared" si="23"/>
        <v>100003.63486990733</v>
      </c>
      <c r="F193">
        <f t="shared" si="18"/>
        <v>72.592090179937529</v>
      </c>
      <c r="G193">
        <f t="shared" si="19"/>
        <v>14.02878606837703</v>
      </c>
      <c r="H193">
        <f t="shared" si="20"/>
        <v>7.3664501072489657</v>
      </c>
    </row>
    <row r="194" spans="2:8">
      <c r="B194" s="2">
        <f t="shared" si="16"/>
        <v>2.3186206817626953E-5</v>
      </c>
      <c r="C194" s="2">
        <f t="shared" si="17"/>
        <v>0.48677605390548706</v>
      </c>
      <c r="D194">
        <v>8166747</v>
      </c>
      <c r="E194">
        <f t="shared" si="23"/>
        <v>100002.2632923769</v>
      </c>
      <c r="F194">
        <f t="shared" si="18"/>
        <v>72.703570324404353</v>
      </c>
      <c r="G194">
        <f t="shared" si="19"/>
        <v>25.176800515059483</v>
      </c>
      <c r="H194">
        <f t="shared" si="20"/>
        <v>5.9948725768190343</v>
      </c>
    </row>
    <row r="195" spans="2:8">
      <c r="B195" s="2">
        <f t="shared" si="16"/>
        <v>1.4722347259521484E-5</v>
      </c>
      <c r="C195" s="2">
        <f t="shared" si="17"/>
        <v>0.48676759004592896</v>
      </c>
      <c r="D195">
        <v>8166605</v>
      </c>
      <c r="E195">
        <f t="shared" si="23"/>
        <v>100000.07493272162</v>
      </c>
      <c r="F195">
        <f t="shared" si="18"/>
        <v>72.881440084765373</v>
      </c>
      <c r="G195">
        <f t="shared" si="19"/>
        <v>42.963776551161459</v>
      </c>
      <c r="H195">
        <f t="shared" si="20"/>
        <v>3.8065129215392517</v>
      </c>
    </row>
    <row r="196" spans="2:8">
      <c r="B196" s="2">
        <f t="shared" si="16"/>
        <v>4.7385692596435547E-5</v>
      </c>
      <c r="C196" s="2">
        <f t="shared" si="17"/>
        <v>0.48680025339126587</v>
      </c>
      <c r="D196">
        <v>8167153</v>
      </c>
      <c r="E196">
        <f t="shared" si="23"/>
        <v>100008.52015167302</v>
      </c>
      <c r="F196">
        <f t="shared" si="18"/>
        <v>72.195030509799849</v>
      </c>
      <c r="G196">
        <f t="shared" si="19"/>
        <v>-25.677180945390887</v>
      </c>
      <c r="H196">
        <f t="shared" si="20"/>
        <v>12.251731872936944</v>
      </c>
    </row>
    <row r="197" spans="2:8">
      <c r="B197" s="2">
        <f t="shared" ref="B197:B260" si="24">C197-$A$4</f>
        <v>5.2511692047119141E-5</v>
      </c>
      <c r="C197" s="2">
        <f t="shared" ref="C197:C260" si="25">D197/2^24</f>
        <v>0.48680537939071655</v>
      </c>
      <c r="D197">
        <v>8167239</v>
      </c>
      <c r="E197">
        <f t="shared" si="23"/>
        <v>100009.84549625298</v>
      </c>
      <c r="F197">
        <f t="shared" ref="F197:F260" si="26">$S$7 + ($S$9/$S$10)*((E197/$S$11)^(-$S$8*$S$10/($S$5*$S$6)) - 1)</f>
        <v>72.087313560011964</v>
      </c>
      <c r="G197">
        <f t="shared" ref="G197:G260" si="27">(F197-$I$4)*100</f>
        <v>-36.448875924179447</v>
      </c>
      <c r="H197">
        <f t="shared" ref="H197:H260" si="28">E197-$J$4</f>
        <v>13.577076452900656</v>
      </c>
    </row>
    <row r="198" spans="2:8">
      <c r="B198" s="2">
        <f t="shared" si="24"/>
        <v>4.9710273742675781E-5</v>
      </c>
      <c r="C198" s="2">
        <f t="shared" si="25"/>
        <v>0.48680257797241211</v>
      </c>
      <c r="D198">
        <v>8167192</v>
      </c>
      <c r="E198">
        <f t="shared" si="23"/>
        <v>100009.12118002905</v>
      </c>
      <c r="F198">
        <f t="shared" si="26"/>
        <v>72.146181982356381</v>
      </c>
      <c r="G198">
        <f t="shared" si="27"/>
        <v>-30.562033689737689</v>
      </c>
      <c r="H198">
        <f t="shared" si="28"/>
        <v>12.852760228968691</v>
      </c>
    </row>
    <row r="199" spans="2:8">
      <c r="B199" s="2">
        <f t="shared" si="24"/>
        <v>5.7220458984375E-5</v>
      </c>
      <c r="C199" s="2">
        <f t="shared" si="25"/>
        <v>0.48681008815765381</v>
      </c>
      <c r="D199">
        <v>8167318</v>
      </c>
      <c r="E199">
        <f t="shared" si="23"/>
        <v>100011.06296394853</v>
      </c>
      <c r="F199">
        <f t="shared" si="26"/>
        <v>71.988365287509438</v>
      </c>
      <c r="G199">
        <f t="shared" si="27"/>
        <v>-46.343703174431994</v>
      </c>
      <c r="H199">
        <f t="shared" si="28"/>
        <v>14.79454414844804</v>
      </c>
    </row>
    <row r="200" spans="2:8">
      <c r="B200" s="2">
        <f t="shared" si="24"/>
        <v>6.3955783843994141E-5</v>
      </c>
      <c r="C200" s="2">
        <f t="shared" si="25"/>
        <v>0.48681682348251343</v>
      </c>
      <c r="D200">
        <v>8167431</v>
      </c>
      <c r="E200">
        <f t="shared" si="23"/>
        <v>100012.80440508266</v>
      </c>
      <c r="F200">
        <f t="shared" si="26"/>
        <v>71.846833377853372</v>
      </c>
      <c r="G200">
        <f t="shared" si="27"/>
        <v>-60.496894140038648</v>
      </c>
      <c r="H200">
        <f t="shared" si="28"/>
        <v>16.535985282578622</v>
      </c>
    </row>
    <row r="201" spans="2:8">
      <c r="B201" s="2">
        <f t="shared" si="24"/>
        <v>5.8054924011230469E-5</v>
      </c>
      <c r="C201" s="2">
        <f t="shared" si="25"/>
        <v>0.48681092262268066</v>
      </c>
      <c r="D201">
        <v>8167332</v>
      </c>
      <c r="E201">
        <f t="shared" si="23"/>
        <v>100011.27871771736</v>
      </c>
      <c r="F201">
        <f t="shared" si="26"/>
        <v>71.970830252347355</v>
      </c>
      <c r="G201">
        <f t="shared" si="27"/>
        <v>-48.097206690640348</v>
      </c>
      <c r="H201">
        <f t="shared" si="28"/>
        <v>15.010297917280695</v>
      </c>
    </row>
    <row r="202" spans="2:8">
      <c r="B202" s="2">
        <f t="shared" si="24"/>
        <v>7.0750713348388672E-5</v>
      </c>
      <c r="C202" s="2">
        <f t="shared" si="25"/>
        <v>0.48682361841201782</v>
      </c>
      <c r="D202">
        <v>8167545</v>
      </c>
      <c r="E202">
        <f t="shared" si="23"/>
        <v>100014.56125720029</v>
      </c>
      <c r="F202">
        <f t="shared" si="26"/>
        <v>71.704050995465906</v>
      </c>
      <c r="G202">
        <f t="shared" si="27"/>
        <v>-74.775132378785258</v>
      </c>
      <c r="H202">
        <f t="shared" si="28"/>
        <v>18.292837400207645</v>
      </c>
    </row>
    <row r="203" spans="2:8">
      <c r="B203" s="2">
        <f t="shared" si="24"/>
        <v>7.7545642852783203E-5</v>
      </c>
      <c r="C203" s="2">
        <f t="shared" si="25"/>
        <v>0.48683041334152222</v>
      </c>
      <c r="D203">
        <v>8167659</v>
      </c>
      <c r="E203">
        <f t="shared" si="23"/>
        <v>100016.31810931792</v>
      </c>
      <c r="F203">
        <f t="shared" si="26"/>
        <v>71.561270643969635</v>
      </c>
      <c r="G203">
        <f t="shared" si="27"/>
        <v>-89.053167528412303</v>
      </c>
      <c r="H203">
        <f t="shared" si="28"/>
        <v>20.049689517836669</v>
      </c>
    </row>
    <row r="204" spans="2:8">
      <c r="B204" s="2">
        <f t="shared" si="24"/>
        <v>4.8458576202392578E-5</v>
      </c>
      <c r="C204" s="2">
        <f t="shared" si="25"/>
        <v>0.48680132627487183</v>
      </c>
      <c r="D204">
        <v>8167171</v>
      </c>
      <c r="E204">
        <f t="shared" si="23"/>
        <v>100008.79754937578</v>
      </c>
      <c r="F204">
        <f t="shared" si="26"/>
        <v>72.172485006056277</v>
      </c>
      <c r="G204">
        <f t="shared" si="27"/>
        <v>-27.93173131974811</v>
      </c>
      <c r="H204">
        <f t="shared" si="28"/>
        <v>12.529129575705156</v>
      </c>
    </row>
    <row r="205" spans="2:8">
      <c r="B205" s="2">
        <f t="shared" si="24"/>
        <v>6.2882900238037109E-5</v>
      </c>
      <c r="C205" s="2">
        <f t="shared" si="25"/>
        <v>0.48681575059890747</v>
      </c>
      <c r="D205">
        <v>8167413</v>
      </c>
      <c r="E205">
        <f t="shared" si="23"/>
        <v>100012.52700737987</v>
      </c>
      <c r="F205">
        <f t="shared" si="26"/>
        <v>71.869378150200575</v>
      </c>
      <c r="G205">
        <f t="shared" si="27"/>
        <v>-58.24241690531835</v>
      </c>
      <c r="H205">
        <f t="shared" si="28"/>
        <v>16.258587579795858</v>
      </c>
    </row>
    <row r="206" spans="2:8">
      <c r="B206" s="2">
        <f t="shared" si="24"/>
        <v>7.1287155151367188E-5</v>
      </c>
      <c r="C206" s="2">
        <f t="shared" si="25"/>
        <v>0.4868241548538208</v>
      </c>
      <c r="D206">
        <v>8167554</v>
      </c>
      <c r="E206">
        <f t="shared" si="23"/>
        <v>100014.69995605167</v>
      </c>
      <c r="F206">
        <f t="shared" si="26"/>
        <v>71.692778788617417</v>
      </c>
      <c r="G206">
        <f t="shared" si="27"/>
        <v>-75.902353063634109</v>
      </c>
      <c r="H206">
        <f t="shared" si="28"/>
        <v>18.431536251591751</v>
      </c>
    </row>
    <row r="207" spans="2:8">
      <c r="B207" s="2">
        <f t="shared" si="24"/>
        <v>7.3790550231933594E-5</v>
      </c>
      <c r="C207" s="2">
        <f t="shared" si="25"/>
        <v>0.48682665824890137</v>
      </c>
      <c r="D207">
        <v>8167596</v>
      </c>
      <c r="E207">
        <f t="shared" si="23"/>
        <v>100015.34721735817</v>
      </c>
      <c r="F207">
        <f t="shared" si="26"/>
        <v>71.640175324016226</v>
      </c>
      <c r="G207">
        <f t="shared" si="27"/>
        <v>-81.16269952375319</v>
      </c>
      <c r="H207">
        <f t="shared" si="28"/>
        <v>19.078797558089718</v>
      </c>
    </row>
    <row r="208" spans="2:8">
      <c r="B208" s="2">
        <f t="shared" si="24"/>
        <v>5.7637691497802734E-5</v>
      </c>
      <c r="C208" s="2">
        <f t="shared" si="25"/>
        <v>0.48681050539016724</v>
      </c>
      <c r="D208">
        <v>8167325</v>
      </c>
      <c r="E208">
        <f t="shared" si="23"/>
        <v>100011.17084083294</v>
      </c>
      <c r="F208">
        <f t="shared" si="26"/>
        <v>71.979597766099175</v>
      </c>
      <c r="G208">
        <f t="shared" si="27"/>
        <v>-47.22045531545831</v>
      </c>
      <c r="H208">
        <f t="shared" si="28"/>
        <v>14.902421032864368</v>
      </c>
    </row>
    <row r="209" spans="2:8">
      <c r="B209" s="2">
        <f t="shared" si="24"/>
        <v>-4.4703483581542969E-6</v>
      </c>
      <c r="C209" s="2">
        <f t="shared" si="25"/>
        <v>0.48674839735031128</v>
      </c>
      <c r="D209">
        <v>8166283</v>
      </c>
      <c r="E209">
        <f t="shared" si="23"/>
        <v>99995.112596038482</v>
      </c>
      <c r="F209">
        <f t="shared" si="26"/>
        <v>73.284790232707067</v>
      </c>
      <c r="G209">
        <f t="shared" si="27"/>
        <v>83.298791345330869</v>
      </c>
      <c r="H209">
        <f t="shared" si="28"/>
        <v>-1.1558237615972757</v>
      </c>
    </row>
    <row r="210" spans="2:8">
      <c r="B210" s="2">
        <f t="shared" si="24"/>
        <v>3.5822391510009766E-5</v>
      </c>
      <c r="C210" s="2">
        <f t="shared" si="25"/>
        <v>0.48678869009017944</v>
      </c>
      <c r="D210">
        <v>8166959</v>
      </c>
      <c r="E210">
        <f t="shared" si="23"/>
        <v>100005.53042087634</v>
      </c>
      <c r="F210">
        <f t="shared" si="26"/>
        <v>72.438024152956061</v>
      </c>
      <c r="G210">
        <f t="shared" si="27"/>
        <v>-1.377816629769768</v>
      </c>
      <c r="H210">
        <f t="shared" si="28"/>
        <v>9.262001076262095</v>
      </c>
    </row>
    <row r="211" spans="2:8">
      <c r="B211" s="2">
        <f t="shared" si="24"/>
        <v>3.7908554077148438E-5</v>
      </c>
      <c r="C211" s="2">
        <f t="shared" si="25"/>
        <v>0.48679077625274658</v>
      </c>
      <c r="D211">
        <v>8166994</v>
      </c>
      <c r="E211">
        <f t="shared" si="23"/>
        <v>100006.06980529842</v>
      </c>
      <c r="F211">
        <f t="shared" si="26"/>
        <v>72.394184658737785</v>
      </c>
      <c r="G211">
        <f t="shared" si="27"/>
        <v>-5.7617660515973057</v>
      </c>
      <c r="H211">
        <f t="shared" si="28"/>
        <v>9.8013854983437341</v>
      </c>
    </row>
    <row r="212" spans="2:8">
      <c r="B212" s="2">
        <f t="shared" si="24"/>
        <v>4.4584274291992188E-5</v>
      </c>
      <c r="C212" s="2">
        <f t="shared" si="25"/>
        <v>0.48679745197296143</v>
      </c>
      <c r="D212">
        <v>8167106</v>
      </c>
      <c r="E212">
        <f t="shared" si="23"/>
        <v>100007.79583544908</v>
      </c>
      <c r="F212">
        <f t="shared" si="26"/>
        <v>72.253899563852514</v>
      </c>
      <c r="G212">
        <f t="shared" si="27"/>
        <v>-19.790275540124469</v>
      </c>
      <c r="H212">
        <f t="shared" si="28"/>
        <v>11.527415649004979</v>
      </c>
    </row>
    <row r="213" spans="2:8">
      <c r="B213" s="2">
        <f t="shared" si="24"/>
        <v>3.4570693969726563E-5</v>
      </c>
      <c r="C213" s="2">
        <f t="shared" si="25"/>
        <v>0.48678743839263916</v>
      </c>
      <c r="D213">
        <v>8166938</v>
      </c>
      <c r="E213">
        <f t="shared" si="23"/>
        <v>100005.20679022311</v>
      </c>
      <c r="F213">
        <f t="shared" si="26"/>
        <v>72.464327941384653</v>
      </c>
      <c r="G213">
        <f t="shared" si="27"/>
        <v>1.2525622130894476</v>
      </c>
      <c r="H213">
        <f t="shared" si="28"/>
        <v>8.9383704230276635</v>
      </c>
    </row>
    <row r="214" spans="2:8">
      <c r="B214" s="2">
        <f t="shared" si="24"/>
        <v>4.3094158172607422E-5</v>
      </c>
      <c r="C214" s="2">
        <f t="shared" si="25"/>
        <v>0.48679596185684204</v>
      </c>
      <c r="D214">
        <v>8167081</v>
      </c>
      <c r="E214">
        <f t="shared" si="23"/>
        <v>100007.41056086187</v>
      </c>
      <c r="F214">
        <f t="shared" si="26"/>
        <v>72.285213031139421</v>
      </c>
      <c r="G214">
        <f t="shared" si="27"/>
        <v>-16.658928811433782</v>
      </c>
      <c r="H214">
        <f t="shared" si="28"/>
        <v>11.142141061791335</v>
      </c>
    </row>
    <row r="215" spans="2:8">
      <c r="B215" s="2">
        <f t="shared" si="24"/>
        <v>9.5427036285400391E-5</v>
      </c>
      <c r="C215" s="2">
        <f t="shared" si="25"/>
        <v>0.48684829473495483</v>
      </c>
      <c r="D215">
        <v>8167959</v>
      </c>
      <c r="E215">
        <f t="shared" si="23"/>
        <v>100020.9414043643</v>
      </c>
      <c r="F215">
        <f t="shared" si="26"/>
        <v>71.18554258075882</v>
      </c>
      <c r="G215">
        <f t="shared" si="27"/>
        <v>-126.62597384949379</v>
      </c>
      <c r="H215">
        <f t="shared" si="28"/>
        <v>24.672984564225771</v>
      </c>
    </row>
    <row r="216" spans="2:8">
      <c r="B216" s="2">
        <f t="shared" si="24"/>
        <v>7.724761962890625E-5</v>
      </c>
      <c r="C216" s="2">
        <f t="shared" si="25"/>
        <v>0.48683011531829834</v>
      </c>
      <c r="D216">
        <v>8167654</v>
      </c>
      <c r="E216">
        <f t="shared" si="23"/>
        <v>100016.24105440048</v>
      </c>
      <c r="F216">
        <f t="shared" si="26"/>
        <v>71.567532897505032</v>
      </c>
      <c r="G216">
        <f t="shared" si="27"/>
        <v>-88.426942174872636</v>
      </c>
      <c r="H216">
        <f t="shared" si="28"/>
        <v>19.972634600402671</v>
      </c>
    </row>
    <row r="217" spans="2:8">
      <c r="B217" s="2">
        <f t="shared" si="24"/>
        <v>1.0478496551513672E-4</v>
      </c>
      <c r="C217" s="2">
        <f t="shared" si="25"/>
        <v>0.48685765266418457</v>
      </c>
      <c r="D217">
        <v>8168116</v>
      </c>
      <c r="E217">
        <f t="shared" si="23"/>
        <v>100023.36092877192</v>
      </c>
      <c r="F217">
        <f t="shared" si="26"/>
        <v>70.988917166555126</v>
      </c>
      <c r="G217">
        <f t="shared" si="27"/>
        <v>-146.28851526986324</v>
      </c>
      <c r="H217">
        <f t="shared" si="28"/>
        <v>27.092508971836651</v>
      </c>
    </row>
    <row r="218" spans="2:8">
      <c r="B218" s="2">
        <f t="shared" si="24"/>
        <v>4.5716762542724609E-5</v>
      </c>
      <c r="C218" s="2">
        <f t="shared" si="25"/>
        <v>0.48679858446121216</v>
      </c>
      <c r="D218">
        <v>8167125</v>
      </c>
      <c r="E218">
        <f t="shared" si="23"/>
        <v>100008.08864413535</v>
      </c>
      <c r="F218">
        <f t="shared" si="26"/>
        <v>72.23010139404353</v>
      </c>
      <c r="G218">
        <f t="shared" si="27"/>
        <v>-22.170092521022866</v>
      </c>
      <c r="H218">
        <f t="shared" si="28"/>
        <v>11.820224335271632</v>
      </c>
    </row>
    <row r="219" spans="2:8">
      <c r="B219" s="2">
        <f t="shared" si="24"/>
        <v>4.6133995056152344E-5</v>
      </c>
      <c r="C219" s="2">
        <f t="shared" si="25"/>
        <v>0.48679900169372559</v>
      </c>
      <c r="D219">
        <v>8167132</v>
      </c>
      <c r="E219">
        <f t="shared" si="23"/>
        <v>100008.19652101975</v>
      </c>
      <c r="F219">
        <f t="shared" si="26"/>
        <v>72.221333661498505</v>
      </c>
      <c r="G219">
        <f t="shared" si="27"/>
        <v>-23.046865775525305</v>
      </c>
      <c r="H219">
        <f t="shared" si="28"/>
        <v>11.928101219673408</v>
      </c>
    </row>
    <row r="220" spans="2:8">
      <c r="B220" s="2">
        <f t="shared" si="24"/>
        <v>6.9081783294677734E-5</v>
      </c>
      <c r="C220" s="2">
        <f t="shared" si="25"/>
        <v>0.48682194948196411</v>
      </c>
      <c r="D220">
        <v>8167517</v>
      </c>
      <c r="E220">
        <f t="shared" si="23"/>
        <v>100014.12974966264</v>
      </c>
      <c r="F220">
        <f t="shared" si="26"/>
        <v>71.73912016439219</v>
      </c>
      <c r="G220">
        <f t="shared" si="27"/>
        <v>-71.268215486156805</v>
      </c>
      <c r="H220">
        <f t="shared" si="28"/>
        <v>17.861329862556886</v>
      </c>
    </row>
    <row r="221" spans="2:8">
      <c r="B221" s="2">
        <f t="shared" si="24"/>
        <v>4.863739013671875E-5</v>
      </c>
      <c r="C221" s="2">
        <f t="shared" si="25"/>
        <v>0.48680150508880615</v>
      </c>
      <c r="D221">
        <v>8167174</v>
      </c>
      <c r="E221">
        <f t="shared" si="23"/>
        <v>100008.84378232625</v>
      </c>
      <c r="F221">
        <f t="shared" si="26"/>
        <v>72.168727427022517</v>
      </c>
      <c r="G221">
        <f t="shared" si="27"/>
        <v>-28.307489223124094</v>
      </c>
      <c r="H221">
        <f t="shared" si="28"/>
        <v>12.575362526171375</v>
      </c>
    </row>
    <row r="222" spans="2:8">
      <c r="B222" s="2">
        <f t="shared" si="24"/>
        <v>7.9870223999023438E-5</v>
      </c>
      <c r="C222" s="2">
        <f t="shared" si="25"/>
        <v>0.48683273792266846</v>
      </c>
      <c r="D222">
        <v>8167698</v>
      </c>
      <c r="E222">
        <f t="shared" si="23"/>
        <v>100016.91913767395</v>
      </c>
      <c r="F222">
        <f t="shared" si="26"/>
        <v>71.51242520046398</v>
      </c>
      <c r="G222">
        <f t="shared" si="27"/>
        <v>-93.937711878977836</v>
      </c>
      <c r="H222">
        <f t="shared" si="28"/>
        <v>20.650717873868416</v>
      </c>
    </row>
    <row r="223" spans="2:8">
      <c r="B223" s="2">
        <f t="shared" si="24"/>
        <v>7.0869922637939453E-5</v>
      </c>
      <c r="C223" s="2">
        <f t="shared" si="25"/>
        <v>0.48682373762130737</v>
      </c>
      <c r="D223">
        <v>8167547</v>
      </c>
      <c r="E223">
        <f t="shared" si="23"/>
        <v>100014.59207916727</v>
      </c>
      <c r="F223">
        <f t="shared" si="26"/>
        <v>71.701546059517455</v>
      </c>
      <c r="G223">
        <f t="shared" si="27"/>
        <v>-75.025625973630383</v>
      </c>
      <c r="H223">
        <f t="shared" si="28"/>
        <v>18.323659367189975</v>
      </c>
    </row>
    <row r="224" spans="2:8">
      <c r="B224" s="2">
        <f t="shared" si="24"/>
        <v>5.2630901336669922E-5</v>
      </c>
      <c r="C224" s="2">
        <f t="shared" si="25"/>
        <v>0.4868054986000061</v>
      </c>
      <c r="D224">
        <v>8167241</v>
      </c>
      <c r="E224">
        <f t="shared" si="23"/>
        <v>100009.87631821995</v>
      </c>
      <c r="F224">
        <f t="shared" si="26"/>
        <v>72.084808528423139</v>
      </c>
      <c r="G224">
        <f t="shared" si="27"/>
        <v>-36.699379083061956</v>
      </c>
      <c r="H224">
        <f t="shared" si="28"/>
        <v>13.607898419868434</v>
      </c>
    </row>
    <row r="225" spans="2:8">
      <c r="B225" s="2">
        <f t="shared" si="24"/>
        <v>5.7816505432128906E-5</v>
      </c>
      <c r="C225" s="2">
        <f t="shared" si="25"/>
        <v>0.48681068420410156</v>
      </c>
      <c r="D225">
        <v>8167328</v>
      </c>
      <c r="E225">
        <f t="shared" si="23"/>
        <v>100011.21707378341</v>
      </c>
      <c r="F225">
        <f t="shared" si="26"/>
        <v>71.975840259264857</v>
      </c>
      <c r="G225">
        <f t="shared" si="27"/>
        <v>-47.596205998890184</v>
      </c>
      <c r="H225">
        <f t="shared" si="28"/>
        <v>14.948653983330587</v>
      </c>
    </row>
    <row r="226" spans="2:8">
      <c r="B226" s="2">
        <f t="shared" si="24"/>
        <v>8.9883804321289063E-5</v>
      </c>
      <c r="C226" s="2">
        <f t="shared" si="25"/>
        <v>0.48684275150299072</v>
      </c>
      <c r="D226">
        <v>8167866</v>
      </c>
      <c r="E226">
        <f t="shared" si="23"/>
        <v>100019.50818289992</v>
      </c>
      <c r="F226">
        <f t="shared" si="26"/>
        <v>71.302016776295986</v>
      </c>
      <c r="G226">
        <f t="shared" si="27"/>
        <v>-114.97855429577726</v>
      </c>
      <c r="H226">
        <f t="shared" si="28"/>
        <v>23.239763099845732</v>
      </c>
    </row>
    <row r="227" spans="2:8">
      <c r="B227" s="2">
        <f t="shared" si="24"/>
        <v>3.8206577301025391E-5</v>
      </c>
      <c r="C227" s="2">
        <f t="shared" si="25"/>
        <v>0.48679107427597046</v>
      </c>
      <c r="D227">
        <v>8166999</v>
      </c>
      <c r="E227">
        <f t="shared" si="23"/>
        <v>100006.14686021586</v>
      </c>
      <c r="F227">
        <f t="shared" si="26"/>
        <v>72.387921889482641</v>
      </c>
      <c r="G227">
        <f t="shared" si="27"/>
        <v>-6.388042977111752</v>
      </c>
      <c r="H227">
        <f t="shared" si="28"/>
        <v>9.8784404157777317</v>
      </c>
    </row>
    <row r="228" spans="2:8">
      <c r="B228" s="2">
        <f t="shared" si="24"/>
        <v>4.8756599426269531E-5</v>
      </c>
      <c r="C228" s="2">
        <f t="shared" si="25"/>
        <v>0.4868016242980957</v>
      </c>
      <c r="D228">
        <v>8167176</v>
      </c>
      <c r="E228">
        <f>((D228-$N$8)*($N$10-$N$9))/($N$7-$N$8)+$N$9</f>
        <v>100008.87460429323</v>
      </c>
      <c r="F228">
        <f t="shared" si="26"/>
        <v>72.166222375114089</v>
      </c>
      <c r="G228">
        <f t="shared" si="27"/>
        <v>-28.557994413966981</v>
      </c>
      <c r="H228">
        <f t="shared" si="28"/>
        <v>12.606184493153705</v>
      </c>
    </row>
    <row r="229" spans="2:8">
      <c r="B229" s="2">
        <f t="shared" si="24"/>
        <v>6.5445899963378906E-5</v>
      </c>
      <c r="C229" s="2">
        <f t="shared" si="25"/>
        <v>0.48681831359863281</v>
      </c>
      <c r="D229">
        <v>8167456</v>
      </c>
      <c r="E229">
        <f>((D229-$N$8)*($N$10-$N$9))/($N$7-$N$8)+$N$9</f>
        <v>100013.18967966986</v>
      </c>
      <c r="F229">
        <f t="shared" si="26"/>
        <v>71.815521278037167</v>
      </c>
      <c r="G229">
        <f t="shared" si="27"/>
        <v>-63.628104121659135</v>
      </c>
      <c r="H229">
        <f t="shared" si="28"/>
        <v>16.921259869777714</v>
      </c>
    </row>
    <row r="230" spans="2:8">
      <c r="B230" s="2">
        <f t="shared" si="24"/>
        <v>1.0460615158081055E-4</v>
      </c>
      <c r="C230" s="2">
        <f t="shared" si="25"/>
        <v>0.48685747385025024</v>
      </c>
      <c r="D230">
        <v>8168113</v>
      </c>
      <c r="E230">
        <f t="shared" ref="E230" si="29">((D230-$N$8)*($N$10-$N$9))/($N$7-$N$8)+$N$9</f>
        <v>100023.31469582146</v>
      </c>
      <c r="F230">
        <f t="shared" si="26"/>
        <v>70.992674303983165</v>
      </c>
      <c r="G230">
        <f t="shared" si="27"/>
        <v>-145.91280152705934</v>
      </c>
      <c r="H230">
        <f t="shared" si="28"/>
        <v>27.046276021384983</v>
      </c>
    </row>
    <row r="231" spans="2:8">
      <c r="B231" s="2">
        <f t="shared" si="24"/>
        <v>9.1552734375E-5</v>
      </c>
      <c r="C231" s="2">
        <f t="shared" si="25"/>
        <v>0.48684442043304443</v>
      </c>
      <c r="D231">
        <v>8167894</v>
      </c>
      <c r="E231">
        <f>((D231-$N$8)*($N$10-$N$9))/($N$7-$N$8)+$N$9</f>
        <v>100019.9396904376</v>
      </c>
      <c r="F231">
        <f t="shared" si="26"/>
        <v>71.266949134370876</v>
      </c>
      <c r="G231">
        <f t="shared" si="27"/>
        <v>-118.48531848828827</v>
      </c>
      <c r="H231">
        <f t="shared" si="28"/>
        <v>23.671270637525595</v>
      </c>
    </row>
    <row r="232" spans="2:8">
      <c r="B232" s="2">
        <f t="shared" si="24"/>
        <v>1.1533498764038086E-4</v>
      </c>
      <c r="C232" s="2">
        <f t="shared" si="25"/>
        <v>0.48686820268630981</v>
      </c>
      <c r="D232">
        <v>8168293</v>
      </c>
      <c r="E232">
        <f>((D232-$N$8)*($N$10-$N$9))/($N$7-$N$8)+$N$9</f>
        <v>100026.08867284929</v>
      </c>
      <c r="F232">
        <f t="shared" si="26"/>
        <v>70.767248547330709</v>
      </c>
      <c r="G232">
        <f t="shared" si="27"/>
        <v>-168.45537719230492</v>
      </c>
      <c r="H232">
        <f t="shared" si="28"/>
        <v>29.820253049212624</v>
      </c>
    </row>
    <row r="233" spans="2:8">
      <c r="B233" s="2">
        <f t="shared" si="24"/>
        <v>7.2121620178222656E-5</v>
      </c>
      <c r="C233" s="2">
        <f t="shared" si="25"/>
        <v>0.48682498931884766</v>
      </c>
      <c r="D233">
        <v>8167568</v>
      </c>
      <c r="E233">
        <f t="shared" ref="E233:E244" si="30">((D233-$N$8)*($N$10-$N$9))/($N$7-$N$8)+$N$9</f>
        <v>100014.91570982052</v>
      </c>
      <c r="F233">
        <f t="shared" si="26"/>
        <v>71.675244269787967</v>
      </c>
      <c r="G233">
        <f t="shared" si="27"/>
        <v>-77.65580494657911</v>
      </c>
      <c r="H233">
        <f t="shared" si="28"/>
        <v>18.647290020438959</v>
      </c>
    </row>
    <row r="234" spans="2:8">
      <c r="B234" s="2">
        <f t="shared" si="24"/>
        <v>6.7830085754394531E-5</v>
      </c>
      <c r="C234" s="2">
        <f t="shared" si="25"/>
        <v>0.48682069778442383</v>
      </c>
      <c r="D234">
        <v>8167496</v>
      </c>
      <c r="E234">
        <f t="shared" si="30"/>
        <v>100013.80611900939</v>
      </c>
      <c r="F234">
        <f t="shared" si="26"/>
        <v>71.765422121486409</v>
      </c>
      <c r="G234">
        <f t="shared" si="27"/>
        <v>-68.638019776734893</v>
      </c>
      <c r="H234">
        <f t="shared" si="28"/>
        <v>17.537699209307902</v>
      </c>
    </row>
    <row r="235" spans="2:8">
      <c r="B235" s="2">
        <f t="shared" si="24"/>
        <v>3.5583972930908203E-5</v>
      </c>
      <c r="C235" s="2">
        <f t="shared" si="25"/>
        <v>0.48678845167160034</v>
      </c>
      <c r="D235">
        <v>8166955</v>
      </c>
      <c r="E235">
        <f t="shared" si="30"/>
        <v>100005.46877694239</v>
      </c>
      <c r="F235">
        <f t="shared" si="26"/>
        <v>72.44303439305726</v>
      </c>
      <c r="G235">
        <f t="shared" si="27"/>
        <v>-0.87679261964979105</v>
      </c>
      <c r="H235">
        <f t="shared" si="28"/>
        <v>9.2003571423119865</v>
      </c>
    </row>
    <row r="236" spans="2:8">
      <c r="B236" s="2">
        <f t="shared" si="24"/>
        <v>6.4611434936523438E-5</v>
      </c>
      <c r="C236" s="2">
        <f t="shared" si="25"/>
        <v>0.48681747913360596</v>
      </c>
      <c r="D236">
        <v>8167442</v>
      </c>
      <c r="E236">
        <f t="shared" si="30"/>
        <v>100012.97392590104</v>
      </c>
      <c r="F236">
        <f t="shared" si="26"/>
        <v>71.83305604189907</v>
      </c>
      <c r="G236">
        <f t="shared" si="27"/>
        <v>-61.874627735468835</v>
      </c>
      <c r="H236">
        <f t="shared" si="28"/>
        <v>16.70550610095961</v>
      </c>
    </row>
    <row r="237" spans="2:8">
      <c r="B237" s="2">
        <f t="shared" si="24"/>
        <v>5.6385993957519531E-5</v>
      </c>
      <c r="C237" s="2">
        <f t="shared" si="25"/>
        <v>0.48680925369262695</v>
      </c>
      <c r="D237">
        <v>8167304</v>
      </c>
      <c r="E237">
        <f t="shared" si="30"/>
        <v>100010.84721017968</v>
      </c>
      <c r="F237">
        <f t="shared" si="26"/>
        <v>72.005900353300561</v>
      </c>
      <c r="G237">
        <f t="shared" si="27"/>
        <v>-44.590196595319753</v>
      </c>
      <c r="H237">
        <f t="shared" si="28"/>
        <v>14.578790379600832</v>
      </c>
    </row>
    <row r="238" spans="2:8">
      <c r="B238" s="2">
        <f t="shared" si="24"/>
        <v>8.8512897491455078E-5</v>
      </c>
      <c r="C238" s="2">
        <f t="shared" si="25"/>
        <v>0.48684138059616089</v>
      </c>
      <c r="D238">
        <v>8167843</v>
      </c>
      <c r="E238">
        <f t="shared" si="30"/>
        <v>100019.15373027969</v>
      </c>
      <c r="F238">
        <f t="shared" si="26"/>
        <v>71.330822430949908</v>
      </c>
      <c r="G238">
        <f t="shared" si="27"/>
        <v>-112.09798883038502</v>
      </c>
      <c r="H238">
        <f t="shared" si="28"/>
        <v>22.885310479614418</v>
      </c>
    </row>
    <row r="239" spans="2:8">
      <c r="B239" s="2">
        <f t="shared" si="24"/>
        <v>7.5697898864746094E-5</v>
      </c>
      <c r="C239" s="2">
        <f t="shared" si="25"/>
        <v>0.48682856559753418</v>
      </c>
      <c r="D239">
        <v>8167628</v>
      </c>
      <c r="E239">
        <f t="shared" si="30"/>
        <v>100015.84036882978</v>
      </c>
      <c r="F239">
        <f t="shared" si="26"/>
        <v>71.600096678867018</v>
      </c>
      <c r="G239">
        <f t="shared" si="27"/>
        <v>-85.170564038674001</v>
      </c>
      <c r="H239">
        <f t="shared" si="28"/>
        <v>19.571949029705138</v>
      </c>
    </row>
    <row r="240" spans="2:8">
      <c r="B240" s="2">
        <f t="shared" si="24"/>
        <v>7.0989131927490234E-5</v>
      </c>
      <c r="C240" s="2">
        <f t="shared" si="25"/>
        <v>0.48682385683059692</v>
      </c>
      <c r="D240">
        <v>8167549</v>
      </c>
      <c r="E240">
        <f t="shared" si="30"/>
        <v>100014.62290113424</v>
      </c>
      <c r="F240">
        <f t="shared" si="26"/>
        <v>71.699041124196114</v>
      </c>
      <c r="G240">
        <f t="shared" si="27"/>
        <v>-75.276119505764427</v>
      </c>
      <c r="H240">
        <f t="shared" si="28"/>
        <v>18.354481334157754</v>
      </c>
    </row>
    <row r="241" spans="2:8">
      <c r="B241" s="2">
        <f t="shared" si="24"/>
        <v>8.2671642303466797E-5</v>
      </c>
      <c r="C241" s="2">
        <f t="shared" si="25"/>
        <v>0.4868355393409729</v>
      </c>
      <c r="D241">
        <v>8167745</v>
      </c>
      <c r="E241">
        <f t="shared" si="30"/>
        <v>100017.64345389788</v>
      </c>
      <c r="F241">
        <f t="shared" si="26"/>
        <v>71.453560494616013</v>
      </c>
      <c r="G241">
        <f t="shared" si="27"/>
        <v>-99.824182463774491</v>
      </c>
      <c r="H241">
        <f t="shared" si="28"/>
        <v>21.375034097800381</v>
      </c>
    </row>
    <row r="242" spans="2:8">
      <c r="B242" s="2">
        <f t="shared" si="24"/>
        <v>9.0003013610839844E-5</v>
      </c>
      <c r="C242" s="2">
        <f t="shared" si="25"/>
        <v>0.48684287071228027</v>
      </c>
      <c r="D242">
        <v>8167868</v>
      </c>
      <c r="E242">
        <f t="shared" si="30"/>
        <v>100019.53900486691</v>
      </c>
      <c r="F242">
        <f t="shared" si="26"/>
        <v>71.299511940667543</v>
      </c>
      <c r="G242">
        <f t="shared" si="27"/>
        <v>-115.22903785862155</v>
      </c>
      <c r="H242">
        <f t="shared" si="28"/>
        <v>23.270585066828062</v>
      </c>
    </row>
    <row r="243" spans="2:8">
      <c r="B243" s="2">
        <f t="shared" si="24"/>
        <v>6.0260295867919922E-5</v>
      </c>
      <c r="C243" s="2">
        <f t="shared" si="25"/>
        <v>0.48681312799453735</v>
      </c>
      <c r="D243">
        <v>8167369</v>
      </c>
      <c r="E243">
        <f t="shared" si="30"/>
        <v>100011.84892410641</v>
      </c>
      <c r="F243">
        <f t="shared" si="26"/>
        <v>71.924487806874069</v>
      </c>
      <c r="G243">
        <f t="shared" si="27"/>
        <v>-52.73145123796894</v>
      </c>
      <c r="H243">
        <f t="shared" si="28"/>
        <v>15.580504306330113</v>
      </c>
    </row>
    <row r="244" spans="2:8">
      <c r="B244" s="2">
        <f t="shared" si="24"/>
        <v>1.0102987289428711E-4</v>
      </c>
      <c r="C244" s="2">
        <f t="shared" si="25"/>
        <v>0.48685389757156372</v>
      </c>
      <c r="D244">
        <v>8168053</v>
      </c>
      <c r="E244">
        <f t="shared" si="30"/>
        <v>100022.39003681217</v>
      </c>
      <c r="F244">
        <f t="shared" si="26"/>
        <v>71.067817347821958</v>
      </c>
      <c r="G244">
        <f t="shared" si="27"/>
        <v>-138.39849714318007</v>
      </c>
      <c r="H244">
        <f t="shared" si="28"/>
        <v>26.1216170120897</v>
      </c>
    </row>
    <row r="245" spans="2:8">
      <c r="B245" s="2">
        <f t="shared" si="24"/>
        <v>8.5473060607910156E-5</v>
      </c>
      <c r="C245" s="2">
        <f t="shared" si="25"/>
        <v>0.48683834075927734</v>
      </c>
      <c r="D245">
        <v>8167792</v>
      </c>
      <c r="E245">
        <f>((D245-$N$8)*($N$10-$N$9))/($N$7-$N$8)+$N$9</f>
        <v>100018.36777012181</v>
      </c>
      <c r="F245">
        <f t="shared" si="26"/>
        <v>71.39469613394472</v>
      </c>
      <c r="G245">
        <f t="shared" si="27"/>
        <v>-105.71061853090384</v>
      </c>
      <c r="H245">
        <f t="shared" si="28"/>
        <v>22.099350321732345</v>
      </c>
    </row>
    <row r="246" spans="2:8">
      <c r="B246" s="2">
        <f t="shared" si="24"/>
        <v>8.9466571807861328E-5</v>
      </c>
      <c r="C246" s="2">
        <f t="shared" si="25"/>
        <v>0.48684233427047729</v>
      </c>
      <c r="D246">
        <v>8167859</v>
      </c>
      <c r="E246">
        <f t="shared" ref="E246:E278" si="31">((D246-$N$8)*($N$10-$N$9))/($N$7-$N$8)+$N$9</f>
        <v>100019.40030601552</v>
      </c>
      <c r="F246">
        <f t="shared" si="26"/>
        <v>71.310783705915071</v>
      </c>
      <c r="G246">
        <f t="shared" si="27"/>
        <v>-114.10186133386873</v>
      </c>
      <c r="H246">
        <f t="shared" si="28"/>
        <v>23.131886215443956</v>
      </c>
    </row>
    <row r="247" spans="2:8">
      <c r="B247" s="2">
        <f t="shared" si="24"/>
        <v>9.3936920166015625E-5</v>
      </c>
      <c r="C247" s="2">
        <f t="shared" si="25"/>
        <v>0.48684680461883545</v>
      </c>
      <c r="D247">
        <v>8167934</v>
      </c>
      <c r="E247">
        <f t="shared" si="31"/>
        <v>100020.55612977712</v>
      </c>
      <c r="F247">
        <f t="shared" si="26"/>
        <v>71.216852715559796</v>
      </c>
      <c r="G247">
        <f t="shared" si="27"/>
        <v>-123.49496036939627</v>
      </c>
      <c r="H247">
        <f t="shared" si="28"/>
        <v>24.287709977041231</v>
      </c>
    </row>
    <row r="248" spans="2:8">
      <c r="B248" s="2">
        <f t="shared" si="24"/>
        <v>6.3121318817138672E-5</v>
      </c>
      <c r="C248" s="2">
        <f t="shared" si="25"/>
        <v>0.48681598901748657</v>
      </c>
      <c r="D248">
        <v>8167417</v>
      </c>
      <c r="E248">
        <f t="shared" si="31"/>
        <v>100012.58865131382</v>
      </c>
      <c r="F248">
        <f t="shared" si="26"/>
        <v>71.864368196412386</v>
      </c>
      <c r="G248">
        <f t="shared" si="27"/>
        <v>-58.743412284137264</v>
      </c>
      <c r="H248">
        <f t="shared" si="28"/>
        <v>16.320231513745966</v>
      </c>
    </row>
    <row r="249" spans="2:8">
      <c r="B249" s="2">
        <f t="shared" si="24"/>
        <v>7.4326992034912109E-5</v>
      </c>
      <c r="C249" s="2">
        <f t="shared" si="25"/>
        <v>0.48682719469070435</v>
      </c>
      <c r="D249">
        <v>8167605</v>
      </c>
      <c r="E249">
        <f t="shared" si="31"/>
        <v>100015.48591620958</v>
      </c>
      <c r="F249">
        <f t="shared" si="26"/>
        <v>71.628903188892082</v>
      </c>
      <c r="G249">
        <f t="shared" si="27"/>
        <v>-82.289913036167661</v>
      </c>
      <c r="H249">
        <f t="shared" si="28"/>
        <v>19.217496409502928</v>
      </c>
    </row>
    <row r="250" spans="2:8">
      <c r="B250" s="2">
        <f t="shared" si="24"/>
        <v>6.7412853240966797E-5</v>
      </c>
      <c r="C250" s="2">
        <f t="shared" si="25"/>
        <v>0.4868202805519104</v>
      </c>
      <c r="D250">
        <v>8167489</v>
      </c>
      <c r="E250">
        <f t="shared" si="31"/>
        <v>100013.69824212497</v>
      </c>
      <c r="F250">
        <f t="shared" si="26"/>
        <v>71.774189455834716</v>
      </c>
      <c r="G250">
        <f t="shared" si="27"/>
        <v>-67.761286341904281</v>
      </c>
      <c r="H250">
        <f t="shared" si="28"/>
        <v>17.429822324891575</v>
      </c>
    </row>
    <row r="251" spans="2:8">
      <c r="B251" s="2">
        <f t="shared" si="24"/>
        <v>1.0144710540771484E-4</v>
      </c>
      <c r="C251" s="2">
        <f t="shared" si="25"/>
        <v>0.48685431480407715</v>
      </c>
      <c r="D251">
        <v>8168060</v>
      </c>
      <c r="E251">
        <f t="shared" si="31"/>
        <v>100022.4979136966</v>
      </c>
      <c r="F251">
        <f t="shared" si="26"/>
        <v>71.059050630387588</v>
      </c>
      <c r="G251">
        <f t="shared" si="27"/>
        <v>-139.275168886617</v>
      </c>
      <c r="H251">
        <f t="shared" si="28"/>
        <v>26.22949389652058</v>
      </c>
    </row>
    <row r="252" spans="2:8">
      <c r="B252" s="2">
        <f t="shared" si="24"/>
        <v>8.6843967437744141E-5</v>
      </c>
      <c r="C252" s="2">
        <f t="shared" si="25"/>
        <v>0.48683971166610718</v>
      </c>
      <c r="D252">
        <v>8167815</v>
      </c>
      <c r="E252">
        <f t="shared" si="31"/>
        <v>100018.72222274204</v>
      </c>
      <c r="F252">
        <f t="shared" si="26"/>
        <v>71.365890296005801</v>
      </c>
      <c r="G252">
        <f t="shared" si="27"/>
        <v>-108.59120232479569</v>
      </c>
      <c r="H252">
        <f t="shared" si="28"/>
        <v>22.453802941963659</v>
      </c>
    </row>
    <row r="253" spans="2:8">
      <c r="B253" s="2">
        <f t="shared" si="24"/>
        <v>9.3638896942138672E-5</v>
      </c>
      <c r="C253" s="2">
        <f t="shared" si="25"/>
        <v>0.48684650659561157</v>
      </c>
      <c r="D253">
        <v>8167929</v>
      </c>
      <c r="E253">
        <f t="shared" si="31"/>
        <v>100020.47907485966</v>
      </c>
      <c r="F253">
        <f t="shared" si="26"/>
        <v>71.22311475424047</v>
      </c>
      <c r="G253">
        <f t="shared" si="27"/>
        <v>-122.86875650132885</v>
      </c>
      <c r="H253">
        <f t="shared" si="28"/>
        <v>24.21065505957813</v>
      </c>
    </row>
    <row r="254" spans="2:8">
      <c r="B254" s="2">
        <f t="shared" si="24"/>
        <v>1.5294551849365234E-4</v>
      </c>
      <c r="C254" s="2">
        <f t="shared" si="25"/>
        <v>0.48690581321716309</v>
      </c>
      <c r="D254">
        <v>8168924</v>
      </c>
      <c r="E254">
        <f t="shared" si="31"/>
        <v>100035.81300343019</v>
      </c>
      <c r="F254">
        <f t="shared" si="26"/>
        <v>69.977046008629316</v>
      </c>
      <c r="G254">
        <f t="shared" si="27"/>
        <v>-247.47563106244428</v>
      </c>
      <c r="H254">
        <f t="shared" si="28"/>
        <v>39.544583630107809</v>
      </c>
    </row>
    <row r="255" spans="2:8">
      <c r="B255" s="2">
        <f t="shared" si="24"/>
        <v>7.5161457061767578E-5</v>
      </c>
      <c r="C255" s="2">
        <f t="shared" si="25"/>
        <v>0.4868280291557312</v>
      </c>
      <c r="D255">
        <v>8167619</v>
      </c>
      <c r="E255">
        <f t="shared" si="31"/>
        <v>100015.7016699784</v>
      </c>
      <c r="F255">
        <f t="shared" si="26"/>
        <v>71.611368781637523</v>
      </c>
      <c r="G255">
        <f t="shared" si="27"/>
        <v>-84.043353761623507</v>
      </c>
      <c r="H255">
        <f t="shared" si="28"/>
        <v>19.433250178321032</v>
      </c>
    </row>
    <row r="256" spans="2:8">
      <c r="B256" s="2">
        <f t="shared" si="24"/>
        <v>1.1783838272094727E-4</v>
      </c>
      <c r="C256" s="2">
        <f t="shared" si="25"/>
        <v>0.48687070608139038</v>
      </c>
      <c r="D256">
        <v>8168335</v>
      </c>
      <c r="E256">
        <f t="shared" si="31"/>
        <v>100026.73593415577</v>
      </c>
      <c r="F256">
        <f t="shared" si="26"/>
        <v>70.714649932501032</v>
      </c>
      <c r="G256">
        <f t="shared" si="27"/>
        <v>-173.71523867527259</v>
      </c>
      <c r="H256">
        <f t="shared" si="28"/>
        <v>30.467514355696039</v>
      </c>
    </row>
    <row r="257" spans="2:8">
      <c r="B257" s="2">
        <f t="shared" si="24"/>
        <v>9.1254711151123047E-5</v>
      </c>
      <c r="C257" s="2">
        <f t="shared" si="25"/>
        <v>0.48684412240982056</v>
      </c>
      <c r="D257">
        <v>8167889</v>
      </c>
      <c r="E257">
        <f t="shared" si="31"/>
        <v>100019.86263552014</v>
      </c>
      <c r="F257">
        <f t="shared" si="26"/>
        <v>71.273211204302967</v>
      </c>
      <c r="G257">
        <f t="shared" si="27"/>
        <v>-117.85911149507911</v>
      </c>
      <c r="H257">
        <f t="shared" si="28"/>
        <v>23.594215720062493</v>
      </c>
    </row>
    <row r="258" spans="2:8">
      <c r="B258" s="2">
        <f t="shared" si="24"/>
        <v>8.6128711700439453E-5</v>
      </c>
      <c r="C258" s="2">
        <f t="shared" si="25"/>
        <v>0.48683899641036987</v>
      </c>
      <c r="D258">
        <v>8167803</v>
      </c>
      <c r="E258">
        <f t="shared" si="31"/>
        <v>100018.53729094018</v>
      </c>
      <c r="F258">
        <f t="shared" si="26"/>
        <v>71.380919418529302</v>
      </c>
      <c r="G258">
        <f t="shared" si="27"/>
        <v>-107.0882900724456</v>
      </c>
      <c r="H258">
        <f t="shared" si="28"/>
        <v>22.268871140098781</v>
      </c>
    </row>
    <row r="259" spans="2:8">
      <c r="B259" s="2">
        <f t="shared" si="24"/>
        <v>6.1750411987304688E-5</v>
      </c>
      <c r="C259" s="2">
        <f t="shared" si="25"/>
        <v>0.48681461811065674</v>
      </c>
      <c r="D259">
        <v>8167394</v>
      </c>
      <c r="E259">
        <f t="shared" si="31"/>
        <v>100012.23419869362</v>
      </c>
      <c r="F259">
        <f t="shared" si="26"/>
        <v>71.89317546482846</v>
      </c>
      <c r="G259">
        <f t="shared" si="27"/>
        <v>-55.86268544252988</v>
      </c>
      <c r="H259">
        <f t="shared" si="28"/>
        <v>15.965778893543757</v>
      </c>
    </row>
    <row r="260" spans="2:8">
      <c r="B260" s="2">
        <f t="shared" si="24"/>
        <v>4.863739013671875E-5</v>
      </c>
      <c r="C260" s="2">
        <f t="shared" si="25"/>
        <v>0.48680150508880615</v>
      </c>
      <c r="D260">
        <v>8167174</v>
      </c>
      <c r="E260">
        <f t="shared" si="31"/>
        <v>100008.84378232625</v>
      </c>
      <c r="F260">
        <f t="shared" si="26"/>
        <v>72.168727427022517</v>
      </c>
      <c r="G260">
        <f t="shared" si="27"/>
        <v>-28.307489223124094</v>
      </c>
      <c r="H260">
        <f t="shared" si="28"/>
        <v>12.575362526171375</v>
      </c>
    </row>
    <row r="261" spans="2:8">
      <c r="B261" s="2">
        <f t="shared" ref="B261:B324" si="32">C261-$A$4</f>
        <v>4.3213367462158203E-5</v>
      </c>
      <c r="C261" s="2">
        <f t="shared" ref="C261:C324" si="33">D261/2^24</f>
        <v>0.48679608106613159</v>
      </c>
      <c r="D261">
        <v>8167083</v>
      </c>
      <c r="E261">
        <f t="shared" si="31"/>
        <v>100007.44138282885</v>
      </c>
      <c r="F261">
        <f t="shared" ref="F261:F324" si="34">$S$7 + ($S$9/$S$10)*((E261/$S$11)^(-$S$8*$S$10/($S$5*$S$6)) - 1)</f>
        <v>72.28270795016023</v>
      </c>
      <c r="G261">
        <f t="shared" ref="G261:G324" si="35">(F261-$I$4)*100</f>
        <v>-16.909436909352848</v>
      </c>
      <c r="H261">
        <f t="shared" ref="H261:H324" si="36">E261-$J$4</f>
        <v>11.172963028773665</v>
      </c>
    </row>
    <row r="262" spans="2:8">
      <c r="B262" s="2">
        <f t="shared" si="32"/>
        <v>6.8902969360351563E-5</v>
      </c>
      <c r="C262" s="2">
        <f t="shared" si="33"/>
        <v>0.48682177066802979</v>
      </c>
      <c r="D262">
        <v>8167514</v>
      </c>
      <c r="E262">
        <f t="shared" si="31"/>
        <v>100014.08351671215</v>
      </c>
      <c r="F262">
        <f t="shared" si="34"/>
        <v>71.742877582617467</v>
      </c>
      <c r="G262">
        <f t="shared" si="35"/>
        <v>-70.892473663629119</v>
      </c>
      <c r="H262">
        <f t="shared" si="36"/>
        <v>17.815096912076115</v>
      </c>
    </row>
    <row r="263" spans="2:8">
      <c r="B263" s="2">
        <f t="shared" si="32"/>
        <v>7.7784061431884766E-5</v>
      </c>
      <c r="C263" s="2">
        <f t="shared" si="33"/>
        <v>0.48683065176010132</v>
      </c>
      <c r="D263">
        <v>8167663</v>
      </c>
      <c r="E263">
        <f t="shared" si="31"/>
        <v>100016.37975325187</v>
      </c>
      <c r="F263">
        <f t="shared" si="34"/>
        <v>71.556260843953851</v>
      </c>
      <c r="G263">
        <f t="shared" si="35"/>
        <v>-89.554147529990757</v>
      </c>
      <c r="H263">
        <f t="shared" si="36"/>
        <v>20.111333451786777</v>
      </c>
    </row>
    <row r="264" spans="2:8">
      <c r="B264" s="2">
        <f t="shared" si="32"/>
        <v>4.0590763092041016E-5</v>
      </c>
      <c r="C264" s="2">
        <f t="shared" si="33"/>
        <v>0.48679345846176147</v>
      </c>
      <c r="D264">
        <v>8167039</v>
      </c>
      <c r="E264">
        <f t="shared" si="31"/>
        <v>100006.76329955539</v>
      </c>
      <c r="F264">
        <f t="shared" si="34"/>
        <v>72.337819876077617</v>
      </c>
      <c r="G264">
        <f t="shared" si="35"/>
        <v>-11.398244317614115</v>
      </c>
      <c r="H264">
        <f t="shared" si="36"/>
        <v>10.49487975530792</v>
      </c>
    </row>
    <row r="265" spans="2:8">
      <c r="B265" s="2">
        <f t="shared" si="32"/>
        <v>4.7206878662109375E-5</v>
      </c>
      <c r="C265" s="2">
        <f t="shared" si="33"/>
        <v>0.48680007457733154</v>
      </c>
      <c r="D265">
        <v>8167150</v>
      </c>
      <c r="E265">
        <f t="shared" si="31"/>
        <v>100008.47391872255</v>
      </c>
      <c r="F265">
        <f t="shared" si="34"/>
        <v>72.198788098677468</v>
      </c>
      <c r="G265">
        <f t="shared" si="35"/>
        <v>-25.301422057628997</v>
      </c>
      <c r="H265">
        <f t="shared" si="36"/>
        <v>12.205498922470724</v>
      </c>
    </row>
    <row r="266" spans="2:8">
      <c r="B266" s="2">
        <f t="shared" si="32"/>
        <v>7.9631805419921875E-5</v>
      </c>
      <c r="C266" s="2">
        <f t="shared" si="33"/>
        <v>0.48683249950408936</v>
      </c>
      <c r="D266">
        <v>8167694</v>
      </c>
      <c r="E266">
        <f t="shared" si="31"/>
        <v>100016.85749374</v>
      </c>
      <c r="F266">
        <f t="shared" si="34"/>
        <v>71.517434978601869</v>
      </c>
      <c r="G266">
        <f t="shared" si="35"/>
        <v>-93.436734065188887</v>
      </c>
      <c r="H266">
        <f t="shared" si="36"/>
        <v>20.589073939918308</v>
      </c>
    </row>
    <row r="267" spans="2:8">
      <c r="B267" s="2">
        <f t="shared" si="32"/>
        <v>6.7114830017089844E-5</v>
      </c>
      <c r="C267" s="2">
        <f t="shared" si="33"/>
        <v>0.48681998252868652</v>
      </c>
      <c r="D267">
        <v>8167484</v>
      </c>
      <c r="E267">
        <f t="shared" si="31"/>
        <v>100013.62118720754</v>
      </c>
      <c r="F267">
        <f t="shared" si="34"/>
        <v>71.780451842200534</v>
      </c>
      <c r="G267">
        <f t="shared" si="35"/>
        <v>-67.135047705322393</v>
      </c>
      <c r="H267">
        <f t="shared" si="36"/>
        <v>17.352767407457577</v>
      </c>
    </row>
    <row r="268" spans="2:8">
      <c r="B268" s="2">
        <f t="shared" si="32"/>
        <v>5.8352947235107422E-5</v>
      </c>
      <c r="C268" s="2">
        <f t="shared" si="33"/>
        <v>0.48681122064590454</v>
      </c>
      <c r="D268">
        <v>8167337</v>
      </c>
      <c r="E268">
        <f t="shared" si="31"/>
        <v>100011.35577263479</v>
      </c>
      <c r="F268">
        <f t="shared" si="34"/>
        <v>71.964567747213778</v>
      </c>
      <c r="G268">
        <f t="shared" si="35"/>
        <v>-48.723457203998066</v>
      </c>
      <c r="H268">
        <f t="shared" si="36"/>
        <v>15.087352834714693</v>
      </c>
    </row>
    <row r="269" spans="2:8">
      <c r="B269" s="2">
        <f t="shared" si="32"/>
        <v>9.3638896942138672E-5</v>
      </c>
      <c r="C269" s="2">
        <f t="shared" si="33"/>
        <v>0.48684650659561157</v>
      </c>
      <c r="D269">
        <v>8167929</v>
      </c>
      <c r="E269">
        <f t="shared" si="31"/>
        <v>100020.47907485966</v>
      </c>
      <c r="F269">
        <f t="shared" si="34"/>
        <v>71.22311475424047</v>
      </c>
      <c r="G269">
        <f t="shared" si="35"/>
        <v>-122.86875650132885</v>
      </c>
      <c r="H269">
        <f t="shared" si="36"/>
        <v>24.21065505957813</v>
      </c>
    </row>
    <row r="270" spans="2:8">
      <c r="B270" s="2">
        <f t="shared" si="32"/>
        <v>6.3121318817138672E-5</v>
      </c>
      <c r="C270" s="2">
        <f t="shared" si="33"/>
        <v>0.48681598901748657</v>
      </c>
      <c r="D270">
        <v>8167417</v>
      </c>
      <c r="E270">
        <f t="shared" si="31"/>
        <v>100012.58865131382</v>
      </c>
      <c r="F270">
        <f t="shared" si="34"/>
        <v>71.864368196412386</v>
      </c>
      <c r="G270">
        <f t="shared" si="35"/>
        <v>-58.743412284137264</v>
      </c>
      <c r="H270">
        <f t="shared" si="36"/>
        <v>16.320231513745966</v>
      </c>
    </row>
    <row r="271" spans="2:8">
      <c r="B271" s="2">
        <f t="shared" si="32"/>
        <v>3.6001205444335938E-5</v>
      </c>
      <c r="C271" s="2">
        <f t="shared" si="33"/>
        <v>0.48678886890411377</v>
      </c>
      <c r="D271">
        <v>8166962</v>
      </c>
      <c r="E271">
        <f t="shared" si="31"/>
        <v>100005.57665382681</v>
      </c>
      <c r="F271">
        <f t="shared" si="34"/>
        <v>72.43426647451922</v>
      </c>
      <c r="G271">
        <f t="shared" si="35"/>
        <v>-1.7535844734538841</v>
      </c>
      <c r="H271">
        <f t="shared" si="36"/>
        <v>9.3082340267283143</v>
      </c>
    </row>
    <row r="272" spans="2:8">
      <c r="B272" s="2">
        <f t="shared" si="32"/>
        <v>1.3387203216552734E-4</v>
      </c>
      <c r="C272" s="2">
        <f t="shared" si="33"/>
        <v>0.48688673973083496</v>
      </c>
      <c r="D272">
        <v>8168604</v>
      </c>
      <c r="E272">
        <f t="shared" si="31"/>
        <v>100030.88148871405</v>
      </c>
      <c r="F272">
        <f t="shared" si="34"/>
        <v>70.377774863110872</v>
      </c>
      <c r="G272">
        <f t="shared" si="35"/>
        <v>-207.40274561428862</v>
      </c>
      <c r="H272">
        <f t="shared" si="36"/>
        <v>34.613068913968164</v>
      </c>
    </row>
    <row r="273" spans="2:8">
      <c r="B273" s="2">
        <f t="shared" si="32"/>
        <v>8.5055828094482422E-5</v>
      </c>
      <c r="C273" s="2">
        <f t="shared" si="33"/>
        <v>0.48683792352676392</v>
      </c>
      <c r="D273">
        <v>8167785</v>
      </c>
      <c r="E273">
        <f t="shared" si="31"/>
        <v>100018.25989323741</v>
      </c>
      <c r="F273">
        <f t="shared" si="34"/>
        <v>71.403463144509658</v>
      </c>
      <c r="G273">
        <f t="shared" si="35"/>
        <v>-104.83391747441004</v>
      </c>
      <c r="H273">
        <f t="shared" si="36"/>
        <v>21.991473437330569</v>
      </c>
    </row>
    <row r="274" spans="2:8">
      <c r="B274" s="2">
        <f t="shared" si="32"/>
        <v>6.9916248321533203E-5</v>
      </c>
      <c r="C274" s="2">
        <f t="shared" si="33"/>
        <v>0.48682278394699097</v>
      </c>
      <c r="D274">
        <v>8167531</v>
      </c>
      <c r="E274">
        <f t="shared" si="31"/>
        <v>100014.34550343147</v>
      </c>
      <c r="F274">
        <f t="shared" si="34"/>
        <v>71.721585564616902</v>
      </c>
      <c r="G274">
        <f t="shared" si="35"/>
        <v>-73.021675463685654</v>
      </c>
      <c r="H274">
        <f t="shared" si="36"/>
        <v>18.077083631389542</v>
      </c>
    </row>
    <row r="275" spans="2:8">
      <c r="B275" s="2">
        <f t="shared" si="32"/>
        <v>7.0333480834960938E-5</v>
      </c>
      <c r="C275" s="2">
        <f t="shared" si="33"/>
        <v>0.48682320117950439</v>
      </c>
      <c r="D275">
        <v>8167538</v>
      </c>
      <c r="E275">
        <f t="shared" si="31"/>
        <v>100014.45338031587</v>
      </c>
      <c r="F275">
        <f t="shared" si="34"/>
        <v>71.712818276214549</v>
      </c>
      <c r="G275">
        <f t="shared" si="35"/>
        <v>-73.898404303920984</v>
      </c>
      <c r="H275">
        <f t="shared" si="36"/>
        <v>18.184960515791317</v>
      </c>
    </row>
    <row r="276" spans="2:8">
      <c r="B276" s="2">
        <f t="shared" si="32"/>
        <v>7.6532363891601563E-5</v>
      </c>
      <c r="C276" s="2">
        <f t="shared" si="33"/>
        <v>0.48682940006256104</v>
      </c>
      <c r="D276">
        <v>8167642</v>
      </c>
      <c r="E276">
        <f t="shared" si="31"/>
        <v>100016.05612259863</v>
      </c>
      <c r="F276">
        <f t="shared" si="34"/>
        <v>71.582562321929245</v>
      </c>
      <c r="G276">
        <f t="shared" si="35"/>
        <v>-86.923999732451307</v>
      </c>
      <c r="H276">
        <f t="shared" si="36"/>
        <v>19.787702798552345</v>
      </c>
    </row>
    <row r="277" spans="2:8">
      <c r="B277" s="2">
        <f t="shared" si="32"/>
        <v>8.0287456512451172E-5</v>
      </c>
      <c r="C277" s="2">
        <f t="shared" si="33"/>
        <v>0.48683315515518188</v>
      </c>
      <c r="D277">
        <v>8167705</v>
      </c>
      <c r="E277">
        <f t="shared" si="31"/>
        <v>100017.02701455836</v>
      </c>
      <c r="F277">
        <f t="shared" si="34"/>
        <v>71.503658094738512</v>
      </c>
      <c r="G277">
        <f t="shared" si="35"/>
        <v>-94.814422451524649</v>
      </c>
      <c r="H277">
        <f t="shared" si="36"/>
        <v>20.758594758284744</v>
      </c>
    </row>
    <row r="278" spans="2:8">
      <c r="B278" s="2">
        <f t="shared" si="32"/>
        <v>7.7664852142333984E-5</v>
      </c>
      <c r="C278" s="2">
        <f t="shared" si="33"/>
        <v>0.48683053255081177</v>
      </c>
      <c r="D278">
        <v>8167661</v>
      </c>
      <c r="E278">
        <f t="shared" si="31"/>
        <v>100016.3489312849</v>
      </c>
      <c r="F278">
        <f t="shared" si="34"/>
        <v>71.558765743648195</v>
      </c>
      <c r="G278">
        <f t="shared" si="35"/>
        <v>-89.30365756055636</v>
      </c>
      <c r="H278">
        <f t="shared" si="36"/>
        <v>20.080511484818999</v>
      </c>
    </row>
    <row r="279" spans="2:8">
      <c r="B279" s="2">
        <f t="shared" si="32"/>
        <v>1.2075901031494141E-4</v>
      </c>
      <c r="C279" s="2">
        <f t="shared" si="33"/>
        <v>0.48687362670898438</v>
      </c>
      <c r="D279">
        <v>8168384</v>
      </c>
      <c r="E279">
        <f>((D279-$N$8)*($N$10-$N$9))/($N$7-$N$8)+$N$9</f>
        <v>100027.49107234669</v>
      </c>
      <c r="F279">
        <f t="shared" si="34"/>
        <v>70.653285230192139</v>
      </c>
      <c r="G279">
        <f t="shared" si="35"/>
        <v>-179.85170890616189</v>
      </c>
      <c r="H279">
        <f t="shared" si="36"/>
        <v>31.222652546610334</v>
      </c>
    </row>
    <row r="280" spans="2:8">
      <c r="B280" s="2">
        <f t="shared" si="32"/>
        <v>7.9870223999023438E-5</v>
      </c>
      <c r="C280" s="2">
        <f t="shared" si="33"/>
        <v>0.48683273792266846</v>
      </c>
      <c r="D280">
        <v>8167698</v>
      </c>
      <c r="E280">
        <f>((D280-$N$8)*($N$10-$N$9))/($N$7-$N$8)+$N$9</f>
        <v>100016.91913767395</v>
      </c>
      <c r="F280">
        <f t="shared" si="34"/>
        <v>71.51242520046398</v>
      </c>
      <c r="G280">
        <f t="shared" si="35"/>
        <v>-93.937711878977836</v>
      </c>
      <c r="H280">
        <f t="shared" si="36"/>
        <v>20.650717873868416</v>
      </c>
    </row>
    <row r="281" spans="2:8">
      <c r="B281" s="2">
        <f t="shared" si="32"/>
        <v>1.18255615234375E-4</v>
      </c>
      <c r="C281" s="2">
        <f t="shared" si="33"/>
        <v>0.48687112331390381</v>
      </c>
      <c r="D281">
        <v>8168342</v>
      </c>
      <c r="E281">
        <f t="shared" ref="E281" si="37">((D281-$N$8)*($N$10-$N$9))/($N$7-$N$8)+$N$9</f>
        <v>100026.84381104019</v>
      </c>
      <c r="F281">
        <f t="shared" si="34"/>
        <v>70.705883523485625</v>
      </c>
      <c r="G281">
        <f t="shared" si="35"/>
        <v>-174.59187957681337</v>
      </c>
      <c r="H281">
        <f t="shared" si="36"/>
        <v>30.575391240112367</v>
      </c>
    </row>
    <row r="282" spans="2:8">
      <c r="B282" s="2">
        <f t="shared" si="32"/>
        <v>9.7453594207763672E-5</v>
      </c>
      <c r="C282" s="2">
        <f t="shared" si="33"/>
        <v>0.4868503212928772</v>
      </c>
      <c r="D282">
        <v>8167993</v>
      </c>
      <c r="E282">
        <f>((D282-$N$8)*($N$10-$N$9))/($N$7-$N$8)+$N$9</f>
        <v>100021.4653778029</v>
      </c>
      <c r="F282">
        <f t="shared" si="34"/>
        <v>71.142960954153139</v>
      </c>
      <c r="G282">
        <f t="shared" si="35"/>
        <v>-130.88413651006192</v>
      </c>
      <c r="H282">
        <f t="shared" si="36"/>
        <v>25.196958002823521</v>
      </c>
    </row>
    <row r="283" spans="2:8">
      <c r="B283" s="2">
        <f t="shared" si="32"/>
        <v>1.0478496551513672E-4</v>
      </c>
      <c r="C283" s="2">
        <f t="shared" si="33"/>
        <v>0.48685765266418457</v>
      </c>
      <c r="D283">
        <v>8168116</v>
      </c>
      <c r="E283">
        <f>((D283-$N$8)*($N$10-$N$9))/($N$7-$N$8)+$N$9</f>
        <v>100023.36092877192</v>
      </c>
      <c r="F283">
        <f t="shared" si="34"/>
        <v>70.988917166555126</v>
      </c>
      <c r="G283">
        <f t="shared" si="35"/>
        <v>-146.28851526986324</v>
      </c>
      <c r="H283">
        <f t="shared" si="36"/>
        <v>27.092508971836651</v>
      </c>
    </row>
    <row r="284" spans="2:8">
      <c r="B284" s="2">
        <f t="shared" si="32"/>
        <v>7.5459480285644531E-5</v>
      </c>
      <c r="C284" s="2">
        <f t="shared" si="33"/>
        <v>0.48682832717895508</v>
      </c>
      <c r="D284">
        <v>8167624</v>
      </c>
      <c r="E284">
        <f>((D284-$N$8)*($N$10-$N$9))/($N$7-$N$8)+$N$9</f>
        <v>100015.77872489583</v>
      </c>
      <c r="F284">
        <f t="shared" si="34"/>
        <v>71.605106500755952</v>
      </c>
      <c r="G284">
        <f t="shared" si="35"/>
        <v>-84.669581849780684</v>
      </c>
      <c r="H284">
        <f t="shared" si="36"/>
        <v>19.510305095755029</v>
      </c>
    </row>
    <row r="285" spans="2:8">
      <c r="B285" s="2">
        <f t="shared" si="32"/>
        <v>5.3882598876953125E-5</v>
      </c>
      <c r="C285" s="2">
        <f t="shared" si="33"/>
        <v>0.48680675029754639</v>
      </c>
      <c r="D285">
        <v>8167262</v>
      </c>
      <c r="E285">
        <f t="shared" ref="E285:E336" si="38">((D285-$N$8)*($N$10-$N$9))/($N$7-$N$8)+$N$9</f>
        <v>100010.1999488732</v>
      </c>
      <c r="F285">
        <f t="shared" si="34"/>
        <v>72.058505734462543</v>
      </c>
      <c r="G285">
        <f t="shared" si="35"/>
        <v>-39.329658479121576</v>
      </c>
      <c r="H285">
        <f t="shared" si="36"/>
        <v>13.931529073117417</v>
      </c>
    </row>
    <row r="286" spans="2:8">
      <c r="B286" s="2">
        <f t="shared" si="32"/>
        <v>8.6426734924316406E-5</v>
      </c>
      <c r="C286" s="2">
        <f t="shared" si="33"/>
        <v>0.48683929443359375</v>
      </c>
      <c r="D286">
        <v>8167808</v>
      </c>
      <c r="E286">
        <f t="shared" si="38"/>
        <v>100018.61434585764</v>
      </c>
      <c r="F286">
        <f t="shared" si="34"/>
        <v>71.374657281409966</v>
      </c>
      <c r="G286">
        <f t="shared" si="35"/>
        <v>-107.71450378437919</v>
      </c>
      <c r="H286">
        <f t="shared" si="36"/>
        <v>22.345926057561883</v>
      </c>
    </row>
    <row r="287" spans="2:8">
      <c r="B287" s="2">
        <f t="shared" si="32"/>
        <v>9.3221664428710938E-5</v>
      </c>
      <c r="C287" s="2">
        <f t="shared" si="33"/>
        <v>0.48684608936309814</v>
      </c>
      <c r="D287">
        <v>8167922</v>
      </c>
      <c r="E287">
        <f t="shared" si="38"/>
        <v>100020.37119797526</v>
      </c>
      <c r="F287">
        <f t="shared" si="34"/>
        <v>71.231881614952499</v>
      </c>
      <c r="G287">
        <f t="shared" si="35"/>
        <v>-121.99207043012592</v>
      </c>
      <c r="H287">
        <f t="shared" si="36"/>
        <v>24.102778175176354</v>
      </c>
    </row>
    <row r="288" spans="2:8">
      <c r="B288" s="2">
        <f t="shared" si="32"/>
        <v>5.0842761993408203E-5</v>
      </c>
      <c r="C288" s="2">
        <f t="shared" si="33"/>
        <v>0.48680371046066284</v>
      </c>
      <c r="D288">
        <v>8167211</v>
      </c>
      <c r="E288">
        <f t="shared" si="38"/>
        <v>100009.41398871531</v>
      </c>
      <c r="F288">
        <f t="shared" si="34"/>
        <v>72.122384067922553</v>
      </c>
      <c r="G288">
        <f t="shared" si="35"/>
        <v>-32.941825133120517</v>
      </c>
      <c r="H288">
        <f t="shared" si="36"/>
        <v>13.145568915235344</v>
      </c>
    </row>
    <row r="289" spans="2:8">
      <c r="B289" s="2">
        <f t="shared" si="32"/>
        <v>6.7830085754394531E-5</v>
      </c>
      <c r="C289" s="2">
        <f t="shared" si="33"/>
        <v>0.48682069778442383</v>
      </c>
      <c r="D289">
        <v>8167496</v>
      </c>
      <c r="E289">
        <f t="shared" si="38"/>
        <v>100013.80611900939</v>
      </c>
      <c r="F289">
        <f t="shared" si="34"/>
        <v>71.765422121486409</v>
      </c>
      <c r="G289">
        <f t="shared" si="35"/>
        <v>-68.638019776734893</v>
      </c>
      <c r="H289">
        <f t="shared" si="36"/>
        <v>17.537699209307902</v>
      </c>
    </row>
    <row r="290" spans="2:8">
      <c r="B290" s="2">
        <f t="shared" si="32"/>
        <v>1.0961294174194336E-4</v>
      </c>
      <c r="C290" s="2">
        <f t="shared" si="33"/>
        <v>0.48686248064041138</v>
      </c>
      <c r="D290">
        <v>8168197</v>
      </c>
      <c r="E290">
        <f t="shared" si="38"/>
        <v>100024.60921843445</v>
      </c>
      <c r="F290">
        <f t="shared" si="34"/>
        <v>70.887474987576255</v>
      </c>
      <c r="G290">
        <f t="shared" si="35"/>
        <v>-156.43273316775037</v>
      </c>
      <c r="H290">
        <f t="shared" si="36"/>
        <v>28.340798634366365</v>
      </c>
    </row>
    <row r="291" spans="2:8">
      <c r="B291" s="2">
        <f t="shared" si="32"/>
        <v>6.8902969360351563E-5</v>
      </c>
      <c r="C291" s="2">
        <f t="shared" si="33"/>
        <v>0.48682177066802979</v>
      </c>
      <c r="D291">
        <v>8167514</v>
      </c>
      <c r="E291">
        <f t="shared" si="38"/>
        <v>100014.08351671215</v>
      </c>
      <c r="F291">
        <f t="shared" si="34"/>
        <v>71.742877582617467</v>
      </c>
      <c r="G291">
        <f t="shared" si="35"/>
        <v>-70.892473663629119</v>
      </c>
      <c r="H291">
        <f t="shared" si="36"/>
        <v>17.815096912076115</v>
      </c>
    </row>
    <row r="292" spans="2:8">
      <c r="B292" s="2">
        <f t="shared" si="32"/>
        <v>8.0883502960205078E-5</v>
      </c>
      <c r="C292" s="2">
        <f t="shared" si="33"/>
        <v>0.48683375120162964</v>
      </c>
      <c r="D292">
        <v>8167715</v>
      </c>
      <c r="E292">
        <f t="shared" si="38"/>
        <v>100017.18112439325</v>
      </c>
      <c r="F292">
        <f t="shared" si="34"/>
        <v>71.49113367126931</v>
      </c>
      <c r="G292">
        <f t="shared" si="35"/>
        <v>-96.06686479844484</v>
      </c>
      <c r="H292">
        <f t="shared" si="36"/>
        <v>20.912704593167291</v>
      </c>
    </row>
    <row r="293" spans="2:8">
      <c r="B293" s="2">
        <f t="shared" si="32"/>
        <v>6.6578388214111328E-5</v>
      </c>
      <c r="C293" s="2">
        <f t="shared" si="33"/>
        <v>0.48681944608688354</v>
      </c>
      <c r="D293">
        <v>8167475</v>
      </c>
      <c r="E293">
        <f t="shared" si="38"/>
        <v>100013.48248835614</v>
      </c>
      <c r="F293">
        <f t="shared" si="34"/>
        <v>71.791724147501924</v>
      </c>
      <c r="G293">
        <f t="shared" si="35"/>
        <v>-66.007817175183447</v>
      </c>
      <c r="H293">
        <f t="shared" si="36"/>
        <v>17.214068556058919</v>
      </c>
    </row>
    <row r="294" spans="2:8">
      <c r="B294" s="2">
        <f t="shared" si="32"/>
        <v>3.2126903533935547E-5</v>
      </c>
      <c r="C294" s="2">
        <f t="shared" si="33"/>
        <v>0.48678499460220337</v>
      </c>
      <c r="D294">
        <v>8166897</v>
      </c>
      <c r="E294">
        <f t="shared" si="38"/>
        <v>100004.57493990009</v>
      </c>
      <c r="F294">
        <f t="shared" si="34"/>
        <v>72.515683155549922</v>
      </c>
      <c r="G294">
        <f t="shared" si="35"/>
        <v>6.3880836296164034</v>
      </c>
      <c r="H294">
        <f t="shared" si="36"/>
        <v>8.3065201000135858</v>
      </c>
    </row>
    <row r="295" spans="2:8">
      <c r="B295" s="2">
        <f t="shared" si="32"/>
        <v>5.8889389038085938E-5</v>
      </c>
      <c r="C295" s="2">
        <f t="shared" si="33"/>
        <v>0.48681175708770752</v>
      </c>
      <c r="D295">
        <v>8167346</v>
      </c>
      <c r="E295">
        <f t="shared" si="38"/>
        <v>100011.49447148618</v>
      </c>
      <c r="F295">
        <f t="shared" si="34"/>
        <v>71.953295247819085</v>
      </c>
      <c r="G295">
        <f t="shared" si="35"/>
        <v>-49.850707143467332</v>
      </c>
      <c r="H295">
        <f t="shared" si="36"/>
        <v>15.226051686098799</v>
      </c>
    </row>
    <row r="296" spans="2:8">
      <c r="B296" s="2">
        <f t="shared" si="32"/>
        <v>4.4345855712890625E-5</v>
      </c>
      <c r="C296" s="2">
        <f t="shared" si="33"/>
        <v>0.48679721355438232</v>
      </c>
      <c r="D296">
        <v>8167102</v>
      </c>
      <c r="E296">
        <f t="shared" si="38"/>
        <v>100007.73419151513</v>
      </c>
      <c r="F296">
        <f t="shared" si="34"/>
        <v>72.258909712052301</v>
      </c>
      <c r="G296">
        <f t="shared" si="35"/>
        <v>-19.289260720145762</v>
      </c>
      <c r="H296">
        <f t="shared" si="36"/>
        <v>11.465771715054871</v>
      </c>
    </row>
    <row r="297" spans="2:8">
      <c r="B297" s="2">
        <f t="shared" si="32"/>
        <v>2.3305416107177734E-5</v>
      </c>
      <c r="C297" s="2">
        <f t="shared" si="33"/>
        <v>0.48677617311477661</v>
      </c>
      <c r="D297">
        <v>8166749</v>
      </c>
      <c r="E297">
        <f t="shared" si="38"/>
        <v>100002.29411434387</v>
      </c>
      <c r="F297">
        <f t="shared" si="34"/>
        <v>72.701065139024124</v>
      </c>
      <c r="G297">
        <f t="shared" si="35"/>
        <v>24.926281977036524</v>
      </c>
      <c r="H297">
        <f t="shared" si="36"/>
        <v>6.0256945437868126</v>
      </c>
    </row>
    <row r="298" spans="2:8">
      <c r="B298" s="2">
        <f t="shared" si="32"/>
        <v>6.9200992584228516E-5</v>
      </c>
      <c r="C298" s="2">
        <f t="shared" si="33"/>
        <v>0.48682206869125366</v>
      </c>
      <c r="D298">
        <v>8167519</v>
      </c>
      <c r="E298">
        <f t="shared" si="38"/>
        <v>100014.16057162962</v>
      </c>
      <c r="F298">
        <f t="shared" si="34"/>
        <v>71.736615219692581</v>
      </c>
      <c r="G298">
        <f t="shared" si="35"/>
        <v>-71.518709956117732</v>
      </c>
      <c r="H298">
        <f t="shared" si="36"/>
        <v>17.892151829539216</v>
      </c>
    </row>
    <row r="299" spans="2:8">
      <c r="B299" s="2">
        <f t="shared" si="32"/>
        <v>8.0585479736328125E-5</v>
      </c>
      <c r="C299" s="2">
        <f t="shared" si="33"/>
        <v>0.48683345317840576</v>
      </c>
      <c r="D299">
        <v>8167710</v>
      </c>
      <c r="E299">
        <f t="shared" si="38"/>
        <v>100017.1040694758</v>
      </c>
      <c r="F299">
        <f t="shared" si="34"/>
        <v>71.497395881048917</v>
      </c>
      <c r="G299">
        <f t="shared" si="35"/>
        <v>-95.440643820484183</v>
      </c>
      <c r="H299">
        <f t="shared" si="36"/>
        <v>20.835649675718741</v>
      </c>
    </row>
    <row r="300" spans="2:8">
      <c r="B300" s="2">
        <f t="shared" si="32"/>
        <v>6.1869621276855469E-5</v>
      </c>
      <c r="C300" s="2">
        <f t="shared" si="33"/>
        <v>0.48681473731994629</v>
      </c>
      <c r="D300">
        <v>8167396</v>
      </c>
      <c r="E300">
        <f t="shared" si="38"/>
        <v>100012.26502066059</v>
      </c>
      <c r="F300">
        <f t="shared" si="34"/>
        <v>71.890670481684552</v>
      </c>
      <c r="G300">
        <f t="shared" si="35"/>
        <v>-56.113183756920648</v>
      </c>
      <c r="H300">
        <f t="shared" si="36"/>
        <v>15.996600860511535</v>
      </c>
    </row>
    <row r="301" spans="2:8">
      <c r="B301" s="2">
        <f t="shared" si="32"/>
        <v>4.7922134399414063E-5</v>
      </c>
      <c r="C301" s="2">
        <f t="shared" si="33"/>
        <v>0.48680078983306885</v>
      </c>
      <c r="D301">
        <v>8167162</v>
      </c>
      <c r="E301">
        <f t="shared" si="38"/>
        <v>100008.6588505244</v>
      </c>
      <c r="F301">
        <f t="shared" si="34"/>
        <v>72.18375775159987</v>
      </c>
      <c r="G301">
        <f t="shared" si="35"/>
        <v>-26.804456765388807</v>
      </c>
      <c r="H301">
        <f t="shared" si="36"/>
        <v>12.39043072432105</v>
      </c>
    </row>
    <row r="302" spans="2:8">
      <c r="B302" s="2">
        <f t="shared" si="32"/>
        <v>9.1552734375E-5</v>
      </c>
      <c r="C302" s="2">
        <f t="shared" si="33"/>
        <v>0.48684442043304443</v>
      </c>
      <c r="D302">
        <v>8167894</v>
      </c>
      <c r="E302">
        <f t="shared" si="38"/>
        <v>100019.9396904376</v>
      </c>
      <c r="F302">
        <f t="shared" si="34"/>
        <v>71.266949134370876</v>
      </c>
      <c r="G302">
        <f t="shared" si="35"/>
        <v>-118.48531848828827</v>
      </c>
      <c r="H302">
        <f t="shared" si="36"/>
        <v>23.671270637525595</v>
      </c>
    </row>
    <row r="303" spans="2:8">
      <c r="B303" s="2">
        <f t="shared" si="32"/>
        <v>6.0260295867919922E-5</v>
      </c>
      <c r="C303" s="2">
        <f t="shared" si="33"/>
        <v>0.48681312799453735</v>
      </c>
      <c r="D303">
        <v>8167369</v>
      </c>
      <c r="E303">
        <f t="shared" si="38"/>
        <v>100011.84892410641</v>
      </c>
      <c r="F303">
        <f t="shared" si="34"/>
        <v>71.924487806874069</v>
      </c>
      <c r="G303">
        <f t="shared" si="35"/>
        <v>-52.73145123796894</v>
      </c>
      <c r="H303">
        <f t="shared" si="36"/>
        <v>15.580504306330113</v>
      </c>
    </row>
    <row r="304" spans="2:8">
      <c r="B304" s="2">
        <f t="shared" si="32"/>
        <v>6.8902969360351563E-5</v>
      </c>
      <c r="C304" s="2">
        <f t="shared" si="33"/>
        <v>0.48682177066802979</v>
      </c>
      <c r="D304">
        <v>8167514</v>
      </c>
      <c r="E304">
        <f t="shared" si="38"/>
        <v>100014.08351671215</v>
      </c>
      <c r="F304">
        <f t="shared" si="34"/>
        <v>71.742877582617467</v>
      </c>
      <c r="G304">
        <f t="shared" si="35"/>
        <v>-70.892473663629119</v>
      </c>
      <c r="H304">
        <f t="shared" si="36"/>
        <v>17.815096912076115</v>
      </c>
    </row>
    <row r="305" spans="2:8">
      <c r="B305" s="2">
        <f t="shared" si="32"/>
        <v>1.8358230590820313E-5</v>
      </c>
      <c r="C305" s="2">
        <f t="shared" si="33"/>
        <v>0.48677122592926025</v>
      </c>
      <c r="D305">
        <v>8166666</v>
      </c>
      <c r="E305">
        <f t="shared" si="38"/>
        <v>100001.01500271437</v>
      </c>
      <c r="F305">
        <f t="shared" si="34"/>
        <v>72.805030857888795</v>
      </c>
      <c r="G305">
        <f t="shared" si="35"/>
        <v>35.322853863503667</v>
      </c>
      <c r="H305">
        <f t="shared" si="36"/>
        <v>4.7465829142893199</v>
      </c>
    </row>
    <row r="306" spans="2:8">
      <c r="B306" s="2">
        <f t="shared" si="32"/>
        <v>5.5432319641113281E-6</v>
      </c>
      <c r="C306" s="2">
        <f t="shared" si="33"/>
        <v>0.48675841093063354</v>
      </c>
      <c r="D306">
        <v>8166451</v>
      </c>
      <c r="E306">
        <f t="shared" si="38"/>
        <v>99997.701641264459</v>
      </c>
      <c r="F306">
        <f t="shared" si="34"/>
        <v>73.07434465513343</v>
      </c>
      <c r="G306">
        <f t="shared" si="35"/>
        <v>62.254233587967178</v>
      </c>
      <c r="H306">
        <f t="shared" si="36"/>
        <v>1.4332214643800398</v>
      </c>
    </row>
    <row r="307" spans="2:8">
      <c r="B307" s="2">
        <f t="shared" si="32"/>
        <v>7.8618526458740234E-5</v>
      </c>
      <c r="C307" s="2">
        <f t="shared" si="33"/>
        <v>0.48683148622512817</v>
      </c>
      <c r="D307">
        <v>8167677</v>
      </c>
      <c r="E307">
        <f t="shared" si="38"/>
        <v>100016.5955070207</v>
      </c>
      <c r="F307">
        <f t="shared" si="34"/>
        <v>71.538726563586351</v>
      </c>
      <c r="G307">
        <f t="shared" si="35"/>
        <v>-91.307575566740695</v>
      </c>
      <c r="H307">
        <f t="shared" si="36"/>
        <v>20.327087220619433</v>
      </c>
    </row>
    <row r="308" spans="2:8">
      <c r="B308" s="2">
        <f t="shared" si="32"/>
        <v>7.6711177825927734E-5</v>
      </c>
      <c r="C308" s="2">
        <f t="shared" si="33"/>
        <v>0.48682957887649536</v>
      </c>
      <c r="D308">
        <v>8167645</v>
      </c>
      <c r="E308">
        <f t="shared" si="38"/>
        <v>100016.1023555491</v>
      </c>
      <c r="F308">
        <f t="shared" si="34"/>
        <v>71.578804963712614</v>
      </c>
      <c r="G308">
        <f t="shared" si="35"/>
        <v>-87.299735554114477</v>
      </c>
      <c r="H308">
        <f t="shared" si="36"/>
        <v>19.833935749018565</v>
      </c>
    </row>
    <row r="309" spans="2:8">
      <c r="B309" s="2">
        <f t="shared" si="32"/>
        <v>3.2782554626464844E-5</v>
      </c>
      <c r="C309" s="2">
        <f t="shared" si="33"/>
        <v>0.4867856502532959</v>
      </c>
      <c r="D309">
        <v>8166908</v>
      </c>
      <c r="E309">
        <f t="shared" si="38"/>
        <v>100004.74446071846</v>
      </c>
      <c r="F309">
        <f t="shared" si="34"/>
        <v>72.501904901569617</v>
      </c>
      <c r="G309">
        <f t="shared" si="35"/>
        <v>5.0102582315858513</v>
      </c>
      <c r="H309">
        <f t="shared" si="36"/>
        <v>8.476040918380022</v>
      </c>
    </row>
    <row r="310" spans="2:8">
      <c r="B310" s="2">
        <f t="shared" si="32"/>
        <v>4.291534423828125E-5</v>
      </c>
      <c r="C310" s="2">
        <f t="shared" si="33"/>
        <v>0.48679578304290771</v>
      </c>
      <c r="D310">
        <v>8167078</v>
      </c>
      <c r="E310">
        <f t="shared" si="38"/>
        <v>100007.36432791142</v>
      </c>
      <c r="F310">
        <f t="shared" si="34"/>
        <v>72.288970653776929</v>
      </c>
      <c r="G310">
        <f t="shared" si="35"/>
        <v>-16.283166547682981</v>
      </c>
      <c r="H310">
        <f t="shared" si="36"/>
        <v>11.095908111339668</v>
      </c>
    </row>
    <row r="311" spans="2:8">
      <c r="B311" s="2">
        <f t="shared" si="32"/>
        <v>3.5703182220458984E-5</v>
      </c>
      <c r="C311" s="2">
        <f t="shared" si="33"/>
        <v>0.48678857088088989</v>
      </c>
      <c r="D311">
        <v>8166957</v>
      </c>
      <c r="E311">
        <f t="shared" si="38"/>
        <v>100005.49959890937</v>
      </c>
      <c r="F311">
        <f t="shared" si="34"/>
        <v>72.440529272693112</v>
      </c>
      <c r="G311">
        <f t="shared" si="35"/>
        <v>-1.1273046560646094</v>
      </c>
      <c r="H311">
        <f t="shared" si="36"/>
        <v>9.2311791092943167</v>
      </c>
    </row>
    <row r="312" spans="2:8">
      <c r="B312" s="2">
        <f t="shared" si="32"/>
        <v>3.6656856536865234E-5</v>
      </c>
      <c r="C312" s="2">
        <f t="shared" si="33"/>
        <v>0.4867895245552063</v>
      </c>
      <c r="D312">
        <v>8166973</v>
      </c>
      <c r="E312">
        <f t="shared" si="38"/>
        <v>100005.74617464517</v>
      </c>
      <c r="F312">
        <f t="shared" si="34"/>
        <v>72.420488332294354</v>
      </c>
      <c r="G312">
        <f t="shared" si="35"/>
        <v>-3.1313986959403906</v>
      </c>
      <c r="H312">
        <f t="shared" si="36"/>
        <v>9.4777548450947506</v>
      </c>
    </row>
    <row r="313" spans="2:8">
      <c r="B313" s="2">
        <f t="shared" si="32"/>
        <v>4.4882297515869141E-5</v>
      </c>
      <c r="C313" s="2">
        <f t="shared" si="33"/>
        <v>0.4867977499961853</v>
      </c>
      <c r="D313">
        <v>8167111</v>
      </c>
      <c r="E313">
        <f t="shared" si="38"/>
        <v>100007.87289036652</v>
      </c>
      <c r="F313">
        <f t="shared" si="34"/>
        <v>72.247636882118456</v>
      </c>
      <c r="G313">
        <f t="shared" si="35"/>
        <v>-20.416543713530189</v>
      </c>
      <c r="H313">
        <f t="shared" si="36"/>
        <v>11.604470566438977</v>
      </c>
    </row>
    <row r="314" spans="2:8">
      <c r="B314" s="2">
        <f t="shared" si="32"/>
        <v>3.4570693969726563E-5</v>
      </c>
      <c r="C314" s="2">
        <f t="shared" si="33"/>
        <v>0.48678743839263916</v>
      </c>
      <c r="D314">
        <v>8166938</v>
      </c>
      <c r="E314">
        <f t="shared" si="38"/>
        <v>100005.20679022311</v>
      </c>
      <c r="F314">
        <f t="shared" si="34"/>
        <v>72.464327941384653</v>
      </c>
      <c r="G314">
        <f t="shared" si="35"/>
        <v>1.2525622130894476</v>
      </c>
      <c r="H314">
        <f t="shared" si="36"/>
        <v>8.9383704230276635</v>
      </c>
    </row>
    <row r="315" spans="2:8">
      <c r="B315" s="2">
        <f t="shared" si="32"/>
        <v>3.7908554077148438E-5</v>
      </c>
      <c r="C315" s="2">
        <f t="shared" si="33"/>
        <v>0.48679077625274658</v>
      </c>
      <c r="D315">
        <v>8166994</v>
      </c>
      <c r="E315">
        <f t="shared" si="38"/>
        <v>100006.06980529842</v>
      </c>
      <c r="F315">
        <f t="shared" si="34"/>
        <v>72.394184658737785</v>
      </c>
      <c r="G315">
        <f t="shared" si="35"/>
        <v>-5.7617660515973057</v>
      </c>
      <c r="H315">
        <f t="shared" si="36"/>
        <v>9.8013854983437341</v>
      </c>
    </row>
    <row r="316" spans="2:8">
      <c r="B316" s="2">
        <f t="shared" si="32"/>
        <v>4.5955181121826172E-5</v>
      </c>
      <c r="C316" s="2">
        <f t="shared" si="33"/>
        <v>0.48679882287979126</v>
      </c>
      <c r="D316">
        <v>8167129</v>
      </c>
      <c r="E316">
        <f t="shared" si="38"/>
        <v>100008.1502880693</v>
      </c>
      <c r="F316">
        <f t="shared" si="34"/>
        <v>72.225091260219983</v>
      </c>
      <c r="G316">
        <f t="shared" si="35"/>
        <v>-22.671105903377509</v>
      </c>
      <c r="H316">
        <f t="shared" si="36"/>
        <v>11.881868269221741</v>
      </c>
    </row>
    <row r="317" spans="2:8">
      <c r="B317" s="2">
        <f t="shared" si="32"/>
        <v>4.5716762542724609E-5</v>
      </c>
      <c r="C317" s="2">
        <f t="shared" si="33"/>
        <v>0.48679858446121216</v>
      </c>
      <c r="D317">
        <v>8167125</v>
      </c>
      <c r="E317">
        <f t="shared" si="38"/>
        <v>100008.08864413535</v>
      </c>
      <c r="F317">
        <f t="shared" si="34"/>
        <v>72.23010139404353</v>
      </c>
      <c r="G317">
        <f t="shared" si="35"/>
        <v>-22.170092521022866</v>
      </c>
      <c r="H317">
        <f t="shared" si="36"/>
        <v>11.820224335271632</v>
      </c>
    </row>
    <row r="318" spans="2:8">
      <c r="B318" s="2">
        <f t="shared" si="32"/>
        <v>4.0590763092041016E-5</v>
      </c>
      <c r="C318" s="2">
        <f t="shared" si="33"/>
        <v>0.48679345846176147</v>
      </c>
      <c r="D318">
        <v>8167039</v>
      </c>
      <c r="E318">
        <f t="shared" si="38"/>
        <v>100006.76329955539</v>
      </c>
      <c r="F318">
        <f t="shared" si="34"/>
        <v>72.337819876077617</v>
      </c>
      <c r="G318">
        <f t="shared" si="35"/>
        <v>-11.398244317614115</v>
      </c>
      <c r="H318">
        <f t="shared" si="36"/>
        <v>10.49487975530792</v>
      </c>
    </row>
    <row r="319" spans="2:8">
      <c r="B319" s="2">
        <f t="shared" si="32"/>
        <v>4.1544437408447266E-5</v>
      </c>
      <c r="C319" s="2">
        <f t="shared" si="33"/>
        <v>0.48679441213607788</v>
      </c>
      <c r="D319">
        <v>8167055</v>
      </c>
      <c r="E319">
        <f t="shared" si="38"/>
        <v>100007.00987529119</v>
      </c>
      <c r="F319">
        <f t="shared" si="34"/>
        <v>72.317779140732469</v>
      </c>
      <c r="G319">
        <f t="shared" si="35"/>
        <v>-13.402317852128931</v>
      </c>
      <c r="H319">
        <f t="shared" si="36"/>
        <v>10.741455491108354</v>
      </c>
    </row>
    <row r="320" spans="2:8">
      <c r="B320" s="2">
        <f t="shared" si="32"/>
        <v>4.0292739868164063E-5</v>
      </c>
      <c r="C320" s="2">
        <f t="shared" si="33"/>
        <v>0.4867931604385376</v>
      </c>
      <c r="D320">
        <v>8167034</v>
      </c>
      <c r="E320">
        <f t="shared" si="38"/>
        <v>100006.68624463794</v>
      </c>
      <c r="F320">
        <f t="shared" si="34"/>
        <v>72.344082614076584</v>
      </c>
      <c r="G320">
        <f t="shared" si="35"/>
        <v>-10.771970517717477</v>
      </c>
      <c r="H320">
        <f t="shared" si="36"/>
        <v>10.417824837859371</v>
      </c>
    </row>
    <row r="321" spans="2:8">
      <c r="B321" s="2">
        <f t="shared" si="32"/>
        <v>5.2928924560546875E-5</v>
      </c>
      <c r="C321" s="2">
        <f t="shared" si="33"/>
        <v>0.48680579662322998</v>
      </c>
      <c r="D321">
        <v>8167246</v>
      </c>
      <c r="E321">
        <f t="shared" si="38"/>
        <v>100009.9533731374</v>
      </c>
      <c r="F321">
        <f t="shared" si="34"/>
        <v>72.078545952178075</v>
      </c>
      <c r="G321">
        <f t="shared" si="35"/>
        <v>-37.325636707568322</v>
      </c>
      <c r="H321">
        <f t="shared" si="36"/>
        <v>13.684953337316983</v>
      </c>
    </row>
    <row r="322" spans="2:8">
      <c r="B322" s="2">
        <f t="shared" si="32"/>
        <v>6.1452388763427734E-5</v>
      </c>
      <c r="C322" s="2">
        <f t="shared" si="33"/>
        <v>0.48681432008743286</v>
      </c>
      <c r="D322">
        <v>8167389</v>
      </c>
      <c r="E322">
        <f t="shared" si="38"/>
        <v>100012.15714377616</v>
      </c>
      <c r="F322">
        <f t="shared" si="34"/>
        <v>71.899437925422347</v>
      </c>
      <c r="G322">
        <f t="shared" si="35"/>
        <v>-55.236439383141089</v>
      </c>
      <c r="H322">
        <f t="shared" si="36"/>
        <v>15.888723976080655</v>
      </c>
    </row>
    <row r="323" spans="2:8">
      <c r="B323" s="2">
        <f t="shared" si="32"/>
        <v>3.4868717193603516E-5</v>
      </c>
      <c r="C323" s="2">
        <f t="shared" si="33"/>
        <v>0.48678773641586304</v>
      </c>
      <c r="D323">
        <v>8166943</v>
      </c>
      <c r="E323">
        <f t="shared" si="38"/>
        <v>100005.28384514054</v>
      </c>
      <c r="F323">
        <f t="shared" si="34"/>
        <v>72.458065128364211</v>
      </c>
      <c r="G323">
        <f t="shared" si="35"/>
        <v>0.62628091104528494</v>
      </c>
      <c r="H323">
        <f t="shared" si="36"/>
        <v>9.0154253404616611</v>
      </c>
    </row>
    <row r="324" spans="2:8">
      <c r="B324" s="2">
        <f t="shared" si="32"/>
        <v>2.4318695068359375E-5</v>
      </c>
      <c r="C324" s="2">
        <f t="shared" si="33"/>
        <v>0.48677718639373779</v>
      </c>
      <c r="D324">
        <v>8166766</v>
      </c>
      <c r="E324">
        <f t="shared" si="38"/>
        <v>100002.55610106316</v>
      </c>
      <c r="F324">
        <f t="shared" si="34"/>
        <v>72.679771088498043</v>
      </c>
      <c r="G324">
        <f t="shared" si="35"/>
        <v>22.796876924428489</v>
      </c>
      <c r="H324">
        <f t="shared" si="36"/>
        <v>6.2876812630856875</v>
      </c>
    </row>
    <row r="325" spans="2:8">
      <c r="B325" s="2">
        <f t="shared" ref="B325:B365" si="39">C325-$A$4</f>
        <v>6.4969062805175781E-6</v>
      </c>
      <c r="C325" s="2">
        <f t="shared" ref="C325:C365" si="40">D325/2^24</f>
        <v>0.48675936460494995</v>
      </c>
      <c r="D325">
        <v>8166467</v>
      </c>
      <c r="E325">
        <f t="shared" si="38"/>
        <v>99997.948217000259</v>
      </c>
      <c r="F325">
        <f t="shared" ref="F325:F365" si="41">$S$7 + ($S$9/$S$10)*((E325/$S$11)^(-$S$8*$S$10/($S$5*$S$6)) - 1)</f>
        <v>73.054302449275312</v>
      </c>
      <c r="G325">
        <f t="shared" ref="G325:G365" si="42">(F325-$I$4)*100</f>
        <v>60.250013002155356</v>
      </c>
      <c r="H325">
        <f t="shared" ref="H325:H365" si="43">E325-$J$4</f>
        <v>1.6797972001804737</v>
      </c>
    </row>
    <row r="326" spans="2:8">
      <c r="B326" s="2">
        <f t="shared" si="39"/>
        <v>-5.3048133850097656E-6</v>
      </c>
      <c r="C326" s="2">
        <f t="shared" si="40"/>
        <v>0.48674756288528442</v>
      </c>
      <c r="D326">
        <v>8166269</v>
      </c>
      <c r="E326">
        <f t="shared" si="38"/>
        <v>99994.896842269663</v>
      </c>
      <c r="F326">
        <f t="shared" si="41"/>
        <v>73.30232756332849</v>
      </c>
      <c r="G326">
        <f t="shared" si="42"/>
        <v>85.052524407473129</v>
      </c>
      <c r="H326">
        <f t="shared" si="43"/>
        <v>-1.3715775304153794</v>
      </c>
    </row>
    <row r="327" spans="2:8">
      <c r="B327" s="2">
        <f t="shared" si="39"/>
        <v>9.0003013610839844E-6</v>
      </c>
      <c r="C327" s="2">
        <f t="shared" si="40"/>
        <v>0.48676186800003052</v>
      </c>
      <c r="D327">
        <v>8166509</v>
      </c>
      <c r="E327">
        <f t="shared" si="38"/>
        <v>99998.595478306757</v>
      </c>
      <c r="F327">
        <f t="shared" si="41"/>
        <v>73.001691849296606</v>
      </c>
      <c r="G327">
        <f t="shared" si="42"/>
        <v>54.988953004284724</v>
      </c>
      <c r="H327">
        <f t="shared" si="43"/>
        <v>2.3270585066784406</v>
      </c>
    </row>
    <row r="328" spans="2:8">
      <c r="B328" s="2">
        <f t="shared" si="39"/>
        <v>3.2126903533935547E-5</v>
      </c>
      <c r="C328" s="2">
        <f t="shared" si="40"/>
        <v>0.48678499460220337</v>
      </c>
      <c r="D328">
        <v>8166897</v>
      </c>
      <c r="E328">
        <f t="shared" si="38"/>
        <v>100004.57493990009</v>
      </c>
      <c r="F328">
        <f t="shared" si="41"/>
        <v>72.515683155549922</v>
      </c>
      <c r="G328">
        <f t="shared" si="42"/>
        <v>6.3880836296164034</v>
      </c>
      <c r="H328">
        <f t="shared" si="43"/>
        <v>8.3065201000135858</v>
      </c>
    </row>
    <row r="329" spans="2:8">
      <c r="B329" s="2">
        <f t="shared" si="39"/>
        <v>5.1558017730712891E-5</v>
      </c>
      <c r="C329" s="2">
        <f t="shared" si="40"/>
        <v>0.48680442571640015</v>
      </c>
      <c r="D329">
        <v>8167223</v>
      </c>
      <c r="E329">
        <f t="shared" si="38"/>
        <v>100009.59892051716</v>
      </c>
      <c r="F329">
        <f t="shared" si="41"/>
        <v>72.107353835241895</v>
      </c>
      <c r="G329">
        <f t="shared" si="42"/>
        <v>-34.444848401186334</v>
      </c>
      <c r="H329">
        <f t="shared" si="43"/>
        <v>13.33050071708567</v>
      </c>
    </row>
    <row r="330" spans="2:8">
      <c r="B330" s="2">
        <f t="shared" si="39"/>
        <v>4.1544437408447266E-5</v>
      </c>
      <c r="C330" s="2">
        <f t="shared" si="40"/>
        <v>0.48679441213607788</v>
      </c>
      <c r="D330">
        <v>8167055</v>
      </c>
      <c r="E330">
        <f t="shared" si="38"/>
        <v>100007.00987529119</v>
      </c>
      <c r="F330">
        <f t="shared" si="41"/>
        <v>72.317779140732469</v>
      </c>
      <c r="G330">
        <f t="shared" si="42"/>
        <v>-13.402317852128931</v>
      </c>
      <c r="H330">
        <f t="shared" si="43"/>
        <v>10.741455491108354</v>
      </c>
    </row>
    <row r="331" spans="2:8">
      <c r="B331" s="2">
        <f t="shared" si="39"/>
        <v>4.8339366912841797E-5</v>
      </c>
      <c r="C331" s="2">
        <f t="shared" si="40"/>
        <v>0.48680120706558228</v>
      </c>
      <c r="D331">
        <v>8167169</v>
      </c>
      <c r="E331">
        <f t="shared" si="38"/>
        <v>100008.76672740882</v>
      </c>
      <c r="F331">
        <f t="shared" si="41"/>
        <v>72.174990059527744</v>
      </c>
      <c r="G331">
        <f t="shared" si="42"/>
        <v>-27.681225972601453</v>
      </c>
      <c r="H331">
        <f t="shared" si="43"/>
        <v>12.498307608737377</v>
      </c>
    </row>
    <row r="332" spans="2:8">
      <c r="B332" s="2">
        <f t="shared" si="39"/>
        <v>6.3538551330566406E-5</v>
      </c>
      <c r="C332" s="2">
        <f t="shared" si="40"/>
        <v>0.48681640625</v>
      </c>
      <c r="D332">
        <v>8167424</v>
      </c>
      <c r="E332">
        <f t="shared" si="38"/>
        <v>100012.69652819824</v>
      </c>
      <c r="F332">
        <f t="shared" si="41"/>
        <v>71.855600783308404</v>
      </c>
      <c r="G332">
        <f t="shared" si="42"/>
        <v>-59.620153594535452</v>
      </c>
      <c r="H332">
        <f t="shared" si="43"/>
        <v>16.428108398162294</v>
      </c>
    </row>
    <row r="333" spans="2:8">
      <c r="B333" s="2">
        <f t="shared" si="39"/>
        <v>6.4074993133544922E-5</v>
      </c>
      <c r="C333" s="2">
        <f t="shared" si="40"/>
        <v>0.48681694269180298</v>
      </c>
      <c r="D333">
        <v>8167433</v>
      </c>
      <c r="E333">
        <f t="shared" si="38"/>
        <v>100012.83522704965</v>
      </c>
      <c r="F333">
        <f t="shared" si="41"/>
        <v>71.844328406273164</v>
      </c>
      <c r="G333">
        <f t="shared" si="42"/>
        <v>-60.747391298059483</v>
      </c>
      <c r="H333">
        <f t="shared" si="43"/>
        <v>16.566807249575504</v>
      </c>
    </row>
    <row r="334" spans="2:8">
      <c r="B334" s="2">
        <f t="shared" si="39"/>
        <v>8.5473060607910156E-5</v>
      </c>
      <c r="C334" s="2">
        <f t="shared" si="40"/>
        <v>0.48683834075927734</v>
      </c>
      <c r="D334">
        <v>8167792</v>
      </c>
      <c r="E334">
        <f t="shared" si="38"/>
        <v>100018.36777012181</v>
      </c>
      <c r="F334">
        <f t="shared" si="41"/>
        <v>71.39469613394472</v>
      </c>
      <c r="G334">
        <f t="shared" si="42"/>
        <v>-105.71061853090384</v>
      </c>
      <c r="H334">
        <f t="shared" si="43"/>
        <v>22.099350321732345</v>
      </c>
    </row>
    <row r="335" spans="2:8">
      <c r="B335" s="2">
        <f t="shared" si="39"/>
        <v>4.1961669921875E-5</v>
      </c>
      <c r="C335" s="2">
        <f t="shared" si="40"/>
        <v>0.48679482936859131</v>
      </c>
      <c r="D335">
        <v>8167062</v>
      </c>
      <c r="E335">
        <f t="shared" si="38"/>
        <v>100007.11775217562</v>
      </c>
      <c r="F335">
        <f t="shared" si="41"/>
        <v>72.309011331602917</v>
      </c>
      <c r="G335">
        <f t="shared" si="42"/>
        <v>-14.279098765084086</v>
      </c>
      <c r="H335">
        <f t="shared" si="43"/>
        <v>10.849332375539234</v>
      </c>
    </row>
    <row r="336" spans="2:8">
      <c r="B336" s="2">
        <f t="shared" si="39"/>
        <v>5.1558017730712891E-5</v>
      </c>
      <c r="C336" s="2">
        <f t="shared" si="40"/>
        <v>0.48680442571640015</v>
      </c>
      <c r="D336">
        <v>8167223</v>
      </c>
      <c r="E336">
        <f t="shared" si="38"/>
        <v>100009.59892051716</v>
      </c>
      <c r="F336">
        <f t="shared" si="41"/>
        <v>72.107353835241895</v>
      </c>
      <c r="G336">
        <f t="shared" si="42"/>
        <v>-34.444848401186334</v>
      </c>
      <c r="H336">
        <f t="shared" si="43"/>
        <v>13.33050071708567</v>
      </c>
    </row>
    <row r="337" spans="2:8">
      <c r="B337" s="2">
        <f t="shared" si="39"/>
        <v>2.6941299438476563E-5</v>
      </c>
      <c r="C337" s="2">
        <f t="shared" si="40"/>
        <v>0.48677980899810791</v>
      </c>
      <c r="D337">
        <v>8166810</v>
      </c>
      <c r="E337">
        <f>((D337-$N$8)*($N$10-$N$9))/($N$7-$N$8)+$N$9</f>
        <v>100003.23418433664</v>
      </c>
      <c r="F337">
        <f t="shared" si="41"/>
        <v>72.624657285138795</v>
      </c>
      <c r="G337">
        <f t="shared" si="42"/>
        <v>17.28549658850369</v>
      </c>
      <c r="H337">
        <f t="shared" si="43"/>
        <v>6.9657645365659846</v>
      </c>
    </row>
    <row r="338" spans="2:8">
      <c r="B338" s="2">
        <f t="shared" si="39"/>
        <v>-9.8943710327148438E-6</v>
      </c>
      <c r="C338" s="2">
        <f t="shared" si="40"/>
        <v>0.48674297332763672</v>
      </c>
      <c r="D338">
        <v>8166192</v>
      </c>
      <c r="E338">
        <f>((D338-$N$8)*($N$10-$N$9))/($N$7-$N$8)+$N$9</f>
        <v>99993.710196541084</v>
      </c>
      <c r="F338">
        <f t="shared" si="41"/>
        <v>73.39878342942778</v>
      </c>
      <c r="G338">
        <f t="shared" si="42"/>
        <v>94.698111017402198</v>
      </c>
      <c r="H338">
        <f t="shared" si="43"/>
        <v>-2.5582232589949854</v>
      </c>
    </row>
    <row r="339" spans="2:8">
      <c r="B339" s="2">
        <f t="shared" si="39"/>
        <v>4.6968460083007813E-5</v>
      </c>
      <c r="C339" s="2">
        <f t="shared" si="40"/>
        <v>0.48679983615875244</v>
      </c>
      <c r="D339">
        <v>8167146</v>
      </c>
      <c r="E339">
        <f t="shared" ref="E339" si="44">((D339-$N$8)*($N$10-$N$9))/($N$7-$N$8)+$N$9</f>
        <v>100008.4122747886</v>
      </c>
      <c r="F339">
        <f t="shared" si="41"/>
        <v>72.203798219374292</v>
      </c>
      <c r="G339">
        <f t="shared" si="42"/>
        <v>-24.800409987946637</v>
      </c>
      <c r="H339">
        <f t="shared" si="43"/>
        <v>12.143854988520616</v>
      </c>
    </row>
    <row r="340" spans="2:8">
      <c r="B340" s="2">
        <f t="shared" si="39"/>
        <v>2.8789043426513672E-5</v>
      </c>
      <c r="C340" s="2">
        <f t="shared" si="40"/>
        <v>0.48678165674209595</v>
      </c>
      <c r="D340">
        <v>8166841</v>
      </c>
      <c r="E340">
        <f>((D340-$N$8)*($N$10-$N$9))/($N$7-$N$8)+$N$9</f>
        <v>100003.71192482476</v>
      </c>
      <c r="F340">
        <f t="shared" si="41"/>
        <v>72.585827287201724</v>
      </c>
      <c r="G340">
        <f t="shared" si="42"/>
        <v>13.402496794796548</v>
      </c>
      <c r="H340">
        <f t="shared" si="43"/>
        <v>7.4435050246829633</v>
      </c>
    </row>
    <row r="341" spans="2:8">
      <c r="B341" s="2">
        <f t="shared" si="39"/>
        <v>1.8596649169921875E-5</v>
      </c>
      <c r="C341" s="2">
        <f t="shared" si="40"/>
        <v>0.48677146434783936</v>
      </c>
      <c r="D341">
        <v>8166670</v>
      </c>
      <c r="E341">
        <f>((D341-$N$8)*($N$10-$N$9))/($N$7-$N$8)+$N$9</f>
        <v>100001.07664664832</v>
      </c>
      <c r="F341">
        <f t="shared" si="41"/>
        <v>72.800020437101338</v>
      </c>
      <c r="G341">
        <f t="shared" si="42"/>
        <v>34.821811784757983</v>
      </c>
      <c r="H341">
        <f t="shared" si="43"/>
        <v>4.8082268482394284</v>
      </c>
    </row>
    <row r="342" spans="2:8">
      <c r="B342" s="2">
        <f t="shared" si="39"/>
        <v>1.52587890625E-5</v>
      </c>
      <c r="C342" s="2">
        <f t="shared" si="40"/>
        <v>0.48676812648773193</v>
      </c>
      <c r="D342">
        <v>8166614</v>
      </c>
      <c r="E342">
        <f t="shared" ref="E342:E365" si="45">((D342-$N$8)*($N$10-$N$9))/($N$7-$N$8)+$N$9</f>
        <v>100000.213631573</v>
      </c>
      <c r="F342">
        <f t="shared" si="41"/>
        <v>72.870166555703264</v>
      </c>
      <c r="G342">
        <f t="shared" si="42"/>
        <v>41.836423644950571</v>
      </c>
      <c r="H342">
        <f t="shared" si="43"/>
        <v>3.9452117729233578</v>
      </c>
    </row>
    <row r="343" spans="2:8">
      <c r="B343" s="2">
        <f t="shared" si="39"/>
        <v>3.3736228942871094E-5</v>
      </c>
      <c r="C343" s="2">
        <f t="shared" si="40"/>
        <v>0.4867866039276123</v>
      </c>
      <c r="D343">
        <v>8166924</v>
      </c>
      <c r="E343">
        <f t="shared" si="45"/>
        <v>100004.99103645426</v>
      </c>
      <c r="F343">
        <f t="shared" si="41"/>
        <v>72.481863838630886</v>
      </c>
      <c r="G343">
        <f t="shared" si="42"/>
        <v>3.0061519377127865</v>
      </c>
      <c r="H343">
        <f t="shared" si="43"/>
        <v>8.722616654180456</v>
      </c>
    </row>
    <row r="344" spans="2:8">
      <c r="B344" s="2">
        <f t="shared" si="39"/>
        <v>1.1920928955078125E-5</v>
      </c>
      <c r="C344" s="2">
        <f t="shared" si="40"/>
        <v>0.48676478862762451</v>
      </c>
      <c r="D344">
        <v>8166558</v>
      </c>
      <c r="E344">
        <f t="shared" si="45"/>
        <v>99999.350616497686</v>
      </c>
      <c r="F344">
        <f t="shared" si="41"/>
        <v>72.940313164488842</v>
      </c>
      <c r="G344">
        <f t="shared" si="42"/>
        <v>48.851084523508348</v>
      </c>
      <c r="H344">
        <f t="shared" si="43"/>
        <v>3.0821966976072872</v>
      </c>
    </row>
    <row r="345" spans="2:8">
      <c r="B345" s="2">
        <f t="shared" si="39"/>
        <v>4.6551227569580078E-5</v>
      </c>
      <c r="C345" s="2">
        <f t="shared" si="40"/>
        <v>0.48679941892623901</v>
      </c>
      <c r="D345">
        <v>8167139</v>
      </c>
      <c r="E345">
        <f t="shared" si="45"/>
        <v>100008.30439790417</v>
      </c>
      <c r="F345">
        <f t="shared" si="41"/>
        <v>72.212565936607163</v>
      </c>
      <c r="G345">
        <f t="shared" si="42"/>
        <v>-23.92363826465953</v>
      </c>
      <c r="H345">
        <f t="shared" si="43"/>
        <v>12.035978104089736</v>
      </c>
    </row>
    <row r="346" spans="2:8">
      <c r="B346" s="2">
        <f t="shared" si="39"/>
        <v>3.7074089050292969E-5</v>
      </c>
      <c r="C346" s="2">
        <f t="shared" si="40"/>
        <v>0.48678994178771973</v>
      </c>
      <c r="D346">
        <v>8166980</v>
      </c>
      <c r="E346">
        <f t="shared" si="45"/>
        <v>100005.8540515296</v>
      </c>
      <c r="F346">
        <f t="shared" si="41"/>
        <v>72.411720433448792</v>
      </c>
      <c r="G346">
        <f t="shared" si="42"/>
        <v>-4.0081885804966078</v>
      </c>
      <c r="H346">
        <f t="shared" si="43"/>
        <v>9.5856317295256304</v>
      </c>
    </row>
    <row r="347" spans="2:8">
      <c r="B347" s="2">
        <f t="shared" si="39"/>
        <v>1.0669231414794922E-5</v>
      </c>
      <c r="C347" s="2">
        <f t="shared" si="40"/>
        <v>0.48676353693008423</v>
      </c>
      <c r="D347">
        <v>8166537</v>
      </c>
      <c r="E347">
        <f t="shared" si="45"/>
        <v>99999.026985844423</v>
      </c>
      <c r="F347">
        <f t="shared" si="41"/>
        <v>72.966618269163916</v>
      </c>
      <c r="G347">
        <f t="shared" si="42"/>
        <v>51.481594991015811</v>
      </c>
      <c r="H347">
        <f t="shared" si="43"/>
        <v>2.7585660443437519</v>
      </c>
    </row>
    <row r="348" spans="2:8">
      <c r="B348" s="2">
        <f t="shared" si="39"/>
        <v>4.3630599975585938E-5</v>
      </c>
      <c r="C348" s="2">
        <f t="shared" si="40"/>
        <v>0.48679649829864502</v>
      </c>
      <c r="D348">
        <v>8167090</v>
      </c>
      <c r="E348">
        <f t="shared" si="45"/>
        <v>100007.54925971327</v>
      </c>
      <c r="F348">
        <f t="shared" si="41"/>
        <v>72.273940171664478</v>
      </c>
      <c r="G348">
        <f t="shared" si="42"/>
        <v>-17.786214758928054</v>
      </c>
      <c r="H348">
        <f t="shared" si="43"/>
        <v>11.280839913189993</v>
      </c>
    </row>
    <row r="349" spans="2:8">
      <c r="B349" s="2">
        <f t="shared" si="39"/>
        <v>3.2782554626464844E-5</v>
      </c>
      <c r="C349" s="2">
        <f t="shared" si="40"/>
        <v>0.4867856502532959</v>
      </c>
      <c r="D349">
        <v>8166908</v>
      </c>
      <c r="E349">
        <f t="shared" si="45"/>
        <v>100004.74446071846</v>
      </c>
      <c r="F349">
        <f t="shared" si="41"/>
        <v>72.501904901569617</v>
      </c>
      <c r="G349">
        <f t="shared" si="42"/>
        <v>5.0102582315858513</v>
      </c>
      <c r="H349">
        <f t="shared" si="43"/>
        <v>8.476040918380022</v>
      </c>
    </row>
    <row r="350" spans="2:8">
      <c r="B350" s="2">
        <f t="shared" si="39"/>
        <v>4.4703483581542969E-6</v>
      </c>
      <c r="C350" s="2">
        <f t="shared" si="40"/>
        <v>0.48675733804702759</v>
      </c>
      <c r="D350">
        <v>8166433</v>
      </c>
      <c r="E350">
        <f t="shared" si="45"/>
        <v>99997.424243561691</v>
      </c>
      <c r="F350">
        <f t="shared" si="41"/>
        <v>73.096892184551734</v>
      </c>
      <c r="G350">
        <f t="shared" si="42"/>
        <v>64.508986529797596</v>
      </c>
      <c r="H350">
        <f t="shared" si="43"/>
        <v>1.1558237616118276</v>
      </c>
    </row>
    <row r="351" spans="2:8">
      <c r="B351" s="2">
        <f t="shared" si="39"/>
        <v>4.1246414184570313E-5</v>
      </c>
      <c r="C351" s="2">
        <f t="shared" si="40"/>
        <v>0.486794114112854</v>
      </c>
      <c r="D351">
        <v>8167050</v>
      </c>
      <c r="E351">
        <f t="shared" si="45"/>
        <v>100006.93282037374</v>
      </c>
      <c r="F351">
        <f t="shared" si="41"/>
        <v>72.324041866231823</v>
      </c>
      <c r="G351">
        <f t="shared" si="42"/>
        <v>-12.776045302193495</v>
      </c>
      <c r="H351">
        <f t="shared" si="43"/>
        <v>10.664400573659805</v>
      </c>
    </row>
    <row r="352" spans="2:8">
      <c r="B352" s="2">
        <f t="shared" si="39"/>
        <v>-3.2186508178710938E-6</v>
      </c>
      <c r="C352" s="2">
        <f t="shared" si="40"/>
        <v>0.48674964904785156</v>
      </c>
      <c r="D352">
        <v>8166304</v>
      </c>
      <c r="E352">
        <f t="shared" si="45"/>
        <v>99995.436226691716</v>
      </c>
      <c r="F352">
        <f t="shared" si="41"/>
        <v>73.25848429422993</v>
      </c>
      <c r="G352">
        <f t="shared" si="42"/>
        <v>80.6681974976172</v>
      </c>
      <c r="H352">
        <f t="shared" si="43"/>
        <v>-0.83219310836284421</v>
      </c>
    </row>
    <row r="353" spans="2:8">
      <c r="B353" s="2">
        <f t="shared" si="39"/>
        <v>2.2232532501220703E-5</v>
      </c>
      <c r="C353" s="2">
        <f t="shared" si="40"/>
        <v>0.48677510023117065</v>
      </c>
      <c r="D353">
        <v>8166731</v>
      </c>
      <c r="E353">
        <f t="shared" si="45"/>
        <v>100002.0167166411</v>
      </c>
      <c r="F353">
        <f t="shared" si="41"/>
        <v>72.723611829984492</v>
      </c>
      <c r="G353">
        <f t="shared" si="42"/>
        <v>27.180951073073345</v>
      </c>
      <c r="H353">
        <f t="shared" si="43"/>
        <v>5.7482968410186004</v>
      </c>
    </row>
    <row r="354" spans="2:8">
      <c r="B354" s="2">
        <f t="shared" si="39"/>
        <v>4.1723251342773438E-6</v>
      </c>
      <c r="C354" s="2">
        <f t="shared" si="40"/>
        <v>0.48675704002380371</v>
      </c>
      <c r="D354">
        <v>8166428</v>
      </c>
      <c r="E354">
        <f t="shared" si="45"/>
        <v>99997.347188644228</v>
      </c>
      <c r="F354">
        <f t="shared" si="41"/>
        <v>73.103155396158471</v>
      </c>
      <c r="G354">
        <f t="shared" si="42"/>
        <v>65.135307690471222</v>
      </c>
      <c r="H354">
        <f t="shared" si="43"/>
        <v>1.0787688441487262</v>
      </c>
    </row>
    <row r="355" spans="2:8">
      <c r="B355" s="2">
        <f t="shared" si="39"/>
        <v>-2.3603439331054688E-5</v>
      </c>
      <c r="C355" s="2">
        <f t="shared" si="40"/>
        <v>0.48672926425933838</v>
      </c>
      <c r="D355">
        <v>8165962</v>
      </c>
      <c r="E355">
        <f t="shared" si="45"/>
        <v>99990.165670338843</v>
      </c>
      <c r="F355">
        <f t="shared" si="41"/>
        <v>73.686903873422239</v>
      </c>
      <c r="G355">
        <f t="shared" si="42"/>
        <v>123.51015541684802</v>
      </c>
      <c r="H355">
        <f t="shared" si="43"/>
        <v>-6.1027494612353621</v>
      </c>
    </row>
    <row r="356" spans="2:8">
      <c r="B356" s="2">
        <f t="shared" si="39"/>
        <v>-5.8412551879882813E-6</v>
      </c>
      <c r="C356" s="2">
        <f t="shared" si="40"/>
        <v>0.48674702644348145</v>
      </c>
      <c r="D356">
        <v>8166260</v>
      </c>
      <c r="E356">
        <f t="shared" si="45"/>
        <v>99994.75814341825</v>
      </c>
      <c r="F356">
        <f t="shared" si="41"/>
        <v>73.313601577766349</v>
      </c>
      <c r="G356">
        <f t="shared" si="42"/>
        <v>86.179925851259043</v>
      </c>
      <c r="H356">
        <f t="shared" si="43"/>
        <v>-1.5102763818285894</v>
      </c>
    </row>
    <row r="357" spans="2:8">
      <c r="B357" s="2">
        <f t="shared" si="39"/>
        <v>1.6510486602783203E-5</v>
      </c>
      <c r="C357" s="2">
        <f t="shared" si="40"/>
        <v>0.48676937818527222</v>
      </c>
      <c r="D357">
        <v>8166635</v>
      </c>
      <c r="E357">
        <f t="shared" si="45"/>
        <v>100000.53726222624</v>
      </c>
      <c r="F357">
        <f t="shared" si="41"/>
        <v>72.843861703785592</v>
      </c>
      <c r="G357">
        <f t="shared" si="42"/>
        <v>39.205938453183364</v>
      </c>
      <c r="H357">
        <f t="shared" si="43"/>
        <v>4.2688424261577893</v>
      </c>
    </row>
    <row r="358" spans="2:8">
      <c r="B358" s="2">
        <f t="shared" si="39"/>
        <v>-1.7523765563964844E-5</v>
      </c>
      <c r="C358" s="2">
        <f t="shared" si="40"/>
        <v>0.48673534393310547</v>
      </c>
      <c r="D358">
        <v>8166064</v>
      </c>
      <c r="E358">
        <f t="shared" si="45"/>
        <v>99991.737590654622</v>
      </c>
      <c r="F358">
        <f t="shared" si="41"/>
        <v>73.559127699447174</v>
      </c>
      <c r="G358">
        <f t="shared" si="42"/>
        <v>110.73253801934158</v>
      </c>
      <c r="H358">
        <f t="shared" si="43"/>
        <v>-4.5308291454566643</v>
      </c>
    </row>
    <row r="359" spans="2:8">
      <c r="B359" s="2">
        <f t="shared" si="39"/>
        <v>4.8041343688964844E-5</v>
      </c>
      <c r="C359" s="2">
        <f t="shared" si="40"/>
        <v>0.4868009090423584</v>
      </c>
      <c r="D359">
        <v>8167164</v>
      </c>
      <c r="E359">
        <f t="shared" si="45"/>
        <v>100008.68967249138</v>
      </c>
      <c r="F359">
        <f t="shared" si="41"/>
        <v>72.181252695938213</v>
      </c>
      <c r="G359">
        <f t="shared" si="42"/>
        <v>-27.054962331554577</v>
      </c>
      <c r="H359">
        <f t="shared" si="43"/>
        <v>12.42125269130338</v>
      </c>
    </row>
    <row r="360" spans="2:8">
      <c r="B360" s="2">
        <f t="shared" si="39"/>
        <v>2.2768974304199219E-5</v>
      </c>
      <c r="C360" s="2">
        <f t="shared" si="40"/>
        <v>0.48677563667297363</v>
      </c>
      <c r="D360">
        <v>8166740</v>
      </c>
      <c r="E360">
        <f t="shared" si="45"/>
        <v>100002.15541549248</v>
      </c>
      <c r="F360">
        <f t="shared" si="41"/>
        <v>72.712338478173734</v>
      </c>
      <c r="G360">
        <f t="shared" si="42"/>
        <v>26.053615891997595</v>
      </c>
      <c r="H360">
        <f t="shared" si="43"/>
        <v>5.8869956924027065</v>
      </c>
    </row>
    <row r="361" spans="2:8">
      <c r="B361" s="2">
        <f t="shared" si="39"/>
        <v>5.5849552154541016E-5</v>
      </c>
      <c r="C361" s="2">
        <f t="shared" si="40"/>
        <v>0.48680871725082397</v>
      </c>
      <c r="D361">
        <v>8167295</v>
      </c>
      <c r="E361">
        <f t="shared" si="45"/>
        <v>100010.7085113283</v>
      </c>
      <c r="F361">
        <f t="shared" si="41"/>
        <v>72.017172911767943</v>
      </c>
      <c r="G361">
        <f t="shared" si="42"/>
        <v>-43.462940748581502</v>
      </c>
      <c r="H361">
        <f t="shared" si="43"/>
        <v>14.440091528216726</v>
      </c>
    </row>
    <row r="362" spans="2:8">
      <c r="B362" s="2">
        <f t="shared" si="39"/>
        <v>1.4424324035644531E-5</v>
      </c>
      <c r="C362" s="2">
        <f t="shared" si="40"/>
        <v>0.48676729202270508</v>
      </c>
      <c r="D362">
        <v>8166600</v>
      </c>
      <c r="E362">
        <f t="shared" si="45"/>
        <v>99999.99787780417</v>
      </c>
      <c r="F362">
        <f t="shared" si="41"/>
        <v>72.887703161940635</v>
      </c>
      <c r="G362">
        <f t="shared" si="42"/>
        <v>43.59008426868769</v>
      </c>
      <c r="H362">
        <f t="shared" si="43"/>
        <v>3.7294580040907022</v>
      </c>
    </row>
    <row r="363" spans="2:8">
      <c r="B363" s="2">
        <f t="shared" si="39"/>
        <v>2.6226043701171875E-5</v>
      </c>
      <c r="C363" s="2">
        <f t="shared" si="40"/>
        <v>0.48677909374237061</v>
      </c>
      <c r="D363">
        <v>8166798</v>
      </c>
      <c r="E363">
        <f t="shared" si="45"/>
        <v>100003.04925253478</v>
      </c>
      <c r="F363">
        <f t="shared" si="41"/>
        <v>72.639688292411037</v>
      </c>
      <c r="G363">
        <f t="shared" si="42"/>
        <v>18.788597315727884</v>
      </c>
      <c r="H363">
        <f t="shared" si="43"/>
        <v>6.7808327347011073</v>
      </c>
    </row>
    <row r="364" spans="2:8">
      <c r="B364" s="2">
        <f t="shared" si="39"/>
        <v>-1.2218952178955078E-5</v>
      </c>
      <c r="C364" s="2">
        <f t="shared" si="40"/>
        <v>0.48674064874649048</v>
      </c>
      <c r="D364">
        <v>8166153</v>
      </c>
      <c r="E364">
        <f t="shared" si="45"/>
        <v>99993.109168185052</v>
      </c>
      <c r="F364">
        <f t="shared" si="41"/>
        <v>73.447638052889488</v>
      </c>
      <c r="G364">
        <f t="shared" si="42"/>
        <v>99.583573363572953</v>
      </c>
      <c r="H364">
        <f t="shared" si="43"/>
        <v>-3.1592516150267329</v>
      </c>
    </row>
    <row r="365" spans="2:8">
      <c r="B365" s="2">
        <f t="shared" si="39"/>
        <v>3.8087368011474609E-5</v>
      </c>
      <c r="C365" s="2">
        <f t="shared" si="40"/>
        <v>0.48679095506668091</v>
      </c>
      <c r="D365">
        <v>8166997</v>
      </c>
      <c r="E365">
        <f t="shared" si="45"/>
        <v>100006.11603824889</v>
      </c>
      <c r="F365">
        <f t="shared" si="41"/>
        <v>72.390426996715306</v>
      </c>
      <c r="G365">
        <f t="shared" si="42"/>
        <v>-6.1375322538452792</v>
      </c>
      <c r="H365">
        <f t="shared" si="43"/>
        <v>9.8476184488099534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Skiba Michał (STUD)</dc:creator>
  <cp:keywords/>
  <dc:description/>
  <cp:lastModifiedBy>Alex Czernicki</cp:lastModifiedBy>
  <cp:revision/>
  <dcterms:created xsi:type="dcterms:W3CDTF">2024-12-11T12:43:09Z</dcterms:created>
  <dcterms:modified xsi:type="dcterms:W3CDTF">2026-05-08T21:46:35Z</dcterms:modified>
  <cp:category/>
  <cp:contentStatus/>
</cp:coreProperties>
</file>